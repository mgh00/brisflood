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96" windowWidth="16152" windowHeight="8448" activeTab="2"/>
  </bookViews>
  <sheets>
    <sheet name="Instructions" sheetId="5" r:id="rId1"/>
    <sheet name="Workspace" sheetId="2" r:id="rId2"/>
    <sheet name="Replace Layers" sheetId="3" r:id="rId3"/>
    <sheet name="Replace Text" sheetId="6" r:id="rId4"/>
    <sheet name="Naming_Sheet" sheetId="7" r:id="rId5"/>
  </sheets>
  <calcPr calcId="145621"/>
</workbook>
</file>

<file path=xl/calcChain.xml><?xml version="1.0" encoding="utf-8"?>
<calcChain xmlns="http://schemas.openxmlformats.org/spreadsheetml/2006/main">
  <c r="U50" i="7" l="1"/>
  <c r="U49" i="7"/>
  <c r="U48" i="7"/>
  <c r="U47" i="7"/>
  <c r="U46" i="7"/>
  <c r="U45" i="7"/>
  <c r="U44" i="7"/>
  <c r="U43" i="7"/>
  <c r="U42" i="7"/>
  <c r="U41" i="7"/>
  <c r="U40" i="7"/>
  <c r="U39" i="7"/>
  <c r="U38" i="7"/>
  <c r="U37" i="7"/>
  <c r="U36" i="7"/>
  <c r="U35" i="7"/>
  <c r="U34" i="7"/>
  <c r="U33" i="7"/>
  <c r="U32" i="7"/>
  <c r="U31" i="7"/>
  <c r="U30" i="7"/>
  <c r="U29" i="7"/>
  <c r="U28" i="7"/>
  <c r="U27" i="7"/>
  <c r="U26" i="7"/>
  <c r="U25" i="7"/>
  <c r="U24" i="7"/>
  <c r="U23" i="7"/>
  <c r="U22" i="7"/>
  <c r="U21" i="7"/>
  <c r="U20" i="7"/>
  <c r="U19" i="7"/>
  <c r="U18" i="7"/>
  <c r="U17" i="7"/>
  <c r="U16" i="7"/>
  <c r="U15" i="7"/>
  <c r="U14" i="7"/>
  <c r="U13" i="7"/>
  <c r="U12" i="7"/>
  <c r="U11" i="7"/>
  <c r="U10" i="7"/>
  <c r="U9" i="7"/>
  <c r="U8" i="7"/>
  <c r="U7" i="7"/>
  <c r="U6" i="7"/>
  <c r="U5" i="7"/>
  <c r="U4" i="7"/>
  <c r="U3" i="7"/>
  <c r="U2" i="7"/>
  <c r="U1" i="7"/>
  <c r="Q50" i="7"/>
  <c r="Q49" i="7"/>
  <c r="Q48" i="7"/>
  <c r="Q47" i="7"/>
  <c r="Q46" i="7"/>
  <c r="Q45" i="7"/>
  <c r="Q44" i="7"/>
  <c r="Q43" i="7"/>
  <c r="Q42" i="7"/>
  <c r="Q41" i="7"/>
  <c r="Q40" i="7"/>
  <c r="Q39" i="7"/>
  <c r="Q38" i="7"/>
  <c r="Q37" i="7"/>
  <c r="Q36" i="7"/>
  <c r="Q35" i="7"/>
  <c r="Q34" i="7"/>
  <c r="Q33" i="7"/>
  <c r="Q32" i="7"/>
  <c r="Q31" i="7"/>
  <c r="Q30" i="7"/>
  <c r="Q29" i="7"/>
  <c r="Q28" i="7"/>
  <c r="Q27" i="7"/>
  <c r="Q26" i="7"/>
  <c r="Q25" i="7"/>
  <c r="Q24" i="7"/>
  <c r="Q23" i="7"/>
  <c r="Q22" i="7"/>
  <c r="Q21" i="7"/>
  <c r="Q20" i="7"/>
  <c r="Q19" i="7"/>
  <c r="Q18" i="7"/>
  <c r="Q17" i="7"/>
  <c r="Q16" i="7"/>
  <c r="Q15" i="7"/>
  <c r="Q14" i="7"/>
  <c r="Q13" i="7"/>
  <c r="Q12" i="7"/>
  <c r="Q11" i="7"/>
  <c r="Q10" i="7"/>
  <c r="Q9" i="7"/>
  <c r="Q8" i="7"/>
  <c r="Q7" i="7"/>
  <c r="Q6" i="7"/>
  <c r="Q5" i="7"/>
  <c r="Q4" i="7"/>
  <c r="Q3" i="7"/>
  <c r="Q2" i="7"/>
  <c r="Q1" i="7"/>
  <c r="T3" i="7"/>
  <c r="T4" i="7" s="1"/>
  <c r="T1" i="7"/>
  <c r="T2" i="7"/>
  <c r="P3" i="7"/>
  <c r="P4" i="7" s="1"/>
  <c r="P5" i="7"/>
  <c r="P6" i="7" s="1"/>
  <c r="P7" i="7"/>
  <c r="P8" i="7" s="1"/>
  <c r="P9" i="7"/>
  <c r="P10" i="7"/>
  <c r="P11" i="7"/>
  <c r="P12" i="7" s="1"/>
  <c r="P13" i="7"/>
  <c r="P14" i="7"/>
  <c r="P15" i="7"/>
  <c r="P16" i="7" s="1"/>
  <c r="P17" i="7"/>
  <c r="P18" i="7"/>
  <c r="P19" i="7"/>
  <c r="P20" i="7" s="1"/>
  <c r="P21" i="7"/>
  <c r="P22" i="7"/>
  <c r="P23" i="7"/>
  <c r="P24" i="7" s="1"/>
  <c r="P25" i="7"/>
  <c r="P26" i="7"/>
  <c r="P27" i="7"/>
  <c r="P28" i="7" s="1"/>
  <c r="P29" i="7"/>
  <c r="P30" i="7"/>
  <c r="P31" i="7"/>
  <c r="P32" i="7" s="1"/>
  <c r="P33" i="7"/>
  <c r="P34" i="7"/>
  <c r="P35" i="7"/>
  <c r="P36" i="7" s="1"/>
  <c r="P37" i="7"/>
  <c r="P38" i="7"/>
  <c r="P39" i="7"/>
  <c r="P40" i="7" s="1"/>
  <c r="P41" i="7"/>
  <c r="P42" i="7"/>
  <c r="P43" i="7"/>
  <c r="P44" i="7" s="1"/>
  <c r="P45" i="7"/>
  <c r="P46" i="7"/>
  <c r="P47" i="7"/>
  <c r="P48" i="7" s="1"/>
  <c r="P49" i="7"/>
  <c r="P50" i="7"/>
  <c r="P2" i="7"/>
  <c r="P1" i="7"/>
  <c r="N50" i="7"/>
  <c r="N49" i="7"/>
  <c r="N48" i="7"/>
  <c r="N47" i="7"/>
  <c r="N46" i="7"/>
  <c r="N45" i="7"/>
  <c r="N44" i="7"/>
  <c r="N43" i="7"/>
  <c r="N42" i="7"/>
  <c r="N41" i="7"/>
  <c r="N40" i="7"/>
  <c r="N39" i="7"/>
  <c r="N38" i="7"/>
  <c r="N37" i="7"/>
  <c r="N36" i="7"/>
  <c r="N35" i="7"/>
  <c r="N34" i="7"/>
  <c r="M48" i="7"/>
  <c r="M49" i="7" s="1"/>
  <c r="M50" i="7" s="1"/>
  <c r="M34" i="7"/>
  <c r="M35" i="7" s="1"/>
  <c r="M36" i="7" s="1"/>
  <c r="M37" i="7" s="1"/>
  <c r="M38" i="7" s="1"/>
  <c r="M39" i="7" s="1"/>
  <c r="M40" i="7" s="1"/>
  <c r="M41" i="7" s="1"/>
  <c r="M42" i="7" s="1"/>
  <c r="M43" i="7" s="1"/>
  <c r="M44" i="7" s="1"/>
  <c r="M45" i="7" s="1"/>
  <c r="M46" i="7" s="1"/>
  <c r="M47" i="7" s="1"/>
  <c r="N33" i="7"/>
  <c r="N32" i="7"/>
  <c r="N31" i="7"/>
  <c r="N30" i="7"/>
  <c r="N29" i="7"/>
  <c r="N28" i="7"/>
  <c r="N27" i="7"/>
  <c r="N26" i="7"/>
  <c r="N25" i="7"/>
  <c r="N24" i="7"/>
  <c r="N23" i="7"/>
  <c r="N22" i="7"/>
  <c r="N21" i="7"/>
  <c r="N20" i="7"/>
  <c r="N19" i="7"/>
  <c r="N18" i="7"/>
  <c r="N17" i="7"/>
  <c r="N16" i="7"/>
  <c r="N15" i="7"/>
  <c r="N14" i="7"/>
  <c r="N13" i="7"/>
  <c r="N12" i="7"/>
  <c r="N11" i="7"/>
  <c r="N10" i="7"/>
  <c r="N9" i="7"/>
  <c r="N8" i="7"/>
  <c r="N7" i="7"/>
  <c r="N6" i="7"/>
  <c r="N5" i="7"/>
  <c r="N4" i="7"/>
  <c r="N3" i="7"/>
  <c r="N2" i="7"/>
  <c r="N1" i="7"/>
  <c r="M5" i="7"/>
  <c r="M6" i="7"/>
  <c r="M7" i="7" s="1"/>
  <c r="M8" i="7" s="1"/>
  <c r="M9" i="7" s="1"/>
  <c r="M10" i="7" s="1"/>
  <c r="M11" i="7" s="1"/>
  <c r="M12" i="7" s="1"/>
  <c r="M13" i="7" s="1"/>
  <c r="M14" i="7" s="1"/>
  <c r="M15" i="7" s="1"/>
  <c r="M16" i="7" s="1"/>
  <c r="M17" i="7" s="1"/>
  <c r="M18" i="7" s="1"/>
  <c r="M19" i="7" s="1"/>
  <c r="M20" i="7" s="1"/>
  <c r="M21" i="7" s="1"/>
  <c r="M22" i="7" s="1"/>
  <c r="M23" i="7" s="1"/>
  <c r="M24" i="7" s="1"/>
  <c r="M25" i="7" s="1"/>
  <c r="M26" i="7" s="1"/>
  <c r="M27" i="7" s="1"/>
  <c r="M28" i="7" s="1"/>
  <c r="M29" i="7" s="1"/>
  <c r="M30" i="7" s="1"/>
  <c r="M31" i="7" s="1"/>
  <c r="M32" i="7" s="1"/>
  <c r="M33" i="7" s="1"/>
  <c r="M3" i="7"/>
  <c r="M4" i="7" s="1"/>
  <c r="M2" i="7"/>
  <c r="I2" i="7"/>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48" i="7"/>
  <c r="I49" i="7"/>
  <c r="I50" i="7"/>
  <c r="I51" i="7"/>
  <c r="I52" i="7"/>
  <c r="I53" i="7"/>
  <c r="I54" i="7"/>
  <c r="I55" i="7"/>
  <c r="I56" i="7"/>
  <c r="I57" i="7"/>
  <c r="I58" i="7"/>
  <c r="I59" i="7"/>
  <c r="I60" i="7"/>
  <c r="I61" i="7"/>
  <c r="I62" i="7"/>
  <c r="I63" i="7"/>
  <c r="I64" i="7"/>
  <c r="I65" i="7"/>
  <c r="I66" i="7"/>
  <c r="I67" i="7"/>
  <c r="I68" i="7"/>
  <c r="I69" i="7"/>
  <c r="I70" i="7"/>
  <c r="I71" i="7"/>
  <c r="I72" i="7"/>
  <c r="I73" i="7"/>
  <c r="I74" i="7"/>
  <c r="I75"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 i="7"/>
  <c r="T5" i="7" l="1"/>
  <c r="T6" i="7" s="1"/>
  <c r="T7" i="7" l="1"/>
  <c r="T8" i="7" l="1"/>
  <c r="T9" i="7" l="1"/>
  <c r="T10" i="7" l="1"/>
  <c r="T11" i="7" l="1"/>
  <c r="T12" i="7" l="1"/>
  <c r="T13" i="7" l="1"/>
  <c r="T14" i="7" l="1"/>
  <c r="T15" i="7" l="1"/>
  <c r="T16" i="7" l="1"/>
  <c r="T17" i="7" l="1"/>
  <c r="T18" i="7" l="1"/>
  <c r="T19" i="7" l="1"/>
  <c r="T20" i="7" l="1"/>
  <c r="T21" i="7" l="1"/>
  <c r="T22" i="7" l="1"/>
  <c r="T23" i="7" l="1"/>
  <c r="T24" i="7" l="1"/>
  <c r="T25" i="7" l="1"/>
  <c r="T26" i="7" l="1"/>
  <c r="T27" i="7" l="1"/>
  <c r="T28" i="7" l="1"/>
  <c r="T29" i="7" l="1"/>
  <c r="T30" i="7" l="1"/>
  <c r="T31" i="7" l="1"/>
  <c r="T32" i="7" l="1"/>
  <c r="T33" i="7" l="1"/>
  <c r="T34" i="7" l="1"/>
  <c r="T35" i="7" l="1"/>
  <c r="T36" i="7" l="1"/>
  <c r="T37" i="7" l="1"/>
  <c r="T38" i="7" l="1"/>
  <c r="T39" i="7" l="1"/>
  <c r="T40" i="7" l="1"/>
  <c r="T41" i="7" l="1"/>
  <c r="T42" i="7" l="1"/>
  <c r="T43" i="7" l="1"/>
  <c r="T44" i="7" l="1"/>
  <c r="T45" i="7" l="1"/>
  <c r="T46" i="7" l="1"/>
  <c r="T47" i="7" l="1"/>
  <c r="T48" i="7" l="1"/>
  <c r="T49" i="7" l="1"/>
  <c r="T50" i="7" l="1"/>
</calcChain>
</file>

<file path=xl/sharedStrings.xml><?xml version="1.0" encoding="utf-8"?>
<sst xmlns="http://schemas.openxmlformats.org/spreadsheetml/2006/main" count="1758" uniqueCount="509">
  <si>
    <t>Replace Layer?</t>
  </si>
  <si>
    <t>No</t>
  </si>
  <si>
    <t>Yes</t>
  </si>
  <si>
    <t>Index</t>
  </si>
  <si>
    <t>Workspace Name</t>
  </si>
  <si>
    <t>Output Folder =</t>
  </si>
  <si>
    <t>1.</t>
  </si>
  <si>
    <t>Workspace</t>
  </si>
  <si>
    <t>2.</t>
  </si>
  <si>
    <t>3.</t>
  </si>
  <si>
    <t>Enter the following data into this sheet:</t>
  </si>
  <si>
    <t>Replace Layers</t>
  </si>
  <si>
    <r>
      <t>Import the workspace you want to duplicate into the spreadsheet by pushing the '</t>
    </r>
    <r>
      <rPr>
        <i/>
        <sz val="11"/>
        <color theme="1"/>
        <rFont val="Calibri"/>
        <family val="2"/>
        <scheme val="minor"/>
      </rPr>
      <t>Import Workspace</t>
    </r>
    <r>
      <rPr>
        <sz val="11"/>
        <color theme="1"/>
        <rFont val="Calibri"/>
        <family val="2"/>
        <scheme val="minor"/>
      </rPr>
      <t>' button on this sheet:</t>
    </r>
  </si>
  <si>
    <t>Replace:</t>
  </si>
  <si>
    <t>In</t>
  </si>
  <si>
    <t>Out</t>
  </si>
  <si>
    <t>Replace Text</t>
  </si>
  <si>
    <t>This spreadsheet has been designed to duplicate MapInfo workspaces with replaced MapInfo layers and text strings in the duplicated workspaces.</t>
  </si>
  <si>
    <t>Below is the process for using this spreadsheet:</t>
  </si>
  <si>
    <t>If you wish to make general text replacements then insert original text under 'In' column and replacement text under 'Out' column in this sheet:</t>
  </si>
  <si>
    <t>4.</t>
  </si>
  <si>
    <t>- The output folder where you want to create the duplicated workspaces</t>
  </si>
  <si>
    <r>
      <t>- Enter the file names you want to call your new duplicated workspaces under the '</t>
    </r>
    <r>
      <rPr>
        <i/>
        <sz val="11"/>
        <color theme="1"/>
        <rFont val="Calibri"/>
        <family val="2"/>
        <scheme val="minor"/>
      </rPr>
      <t>Workspace Name</t>
    </r>
    <r>
      <rPr>
        <sz val="11"/>
        <color theme="1"/>
        <rFont val="Calibri"/>
        <family val="2"/>
        <scheme val="minor"/>
      </rPr>
      <t>' column . One workspace will be created for each listed filename.</t>
    </r>
  </si>
  <si>
    <t xml:space="preserve">- Enter the new MapInfo layer filenames and layer names (maximum 30 characters) for layers that are being replaced in the duplicated workspaces.
    Note that each MapInfo layer in the workspace was assigned an index number in the 'Workspace' sheet. </t>
  </si>
  <si>
    <r>
      <t>- Once all set up, hit the '</t>
    </r>
    <r>
      <rPr>
        <i/>
        <sz val="11"/>
        <color theme="1"/>
        <rFont val="Calibri"/>
        <family val="2"/>
        <scheme val="minor"/>
      </rPr>
      <t>Duplicate Workspaces</t>
    </r>
    <r>
      <rPr>
        <sz val="11"/>
        <color theme="1"/>
        <rFont val="Calibri"/>
        <family val="2"/>
        <scheme val="minor"/>
      </rPr>
      <t>' button and hopefully the new workspaces will be written.</t>
    </r>
  </si>
  <si>
    <r>
      <t>Select the MapInfo layers in the original workspace that you want replaced in duplicated worksheets under the '</t>
    </r>
    <r>
      <rPr>
        <i/>
        <sz val="11"/>
        <color theme="1"/>
        <rFont val="Calibri"/>
        <family val="2"/>
        <scheme val="minor"/>
      </rPr>
      <t>Replace Layer?</t>
    </r>
    <r>
      <rPr>
        <sz val="11"/>
        <color theme="1"/>
        <rFont val="Calibri"/>
        <family val="2"/>
        <scheme val="minor"/>
      </rPr>
      <t>' column in this sheet:</t>
    </r>
  </si>
  <si>
    <t>List of layers in the original workspace:</t>
  </si>
  <si>
    <t>Layer Names in the original workspace:</t>
  </si>
  <si>
    <t>Original Workspace Information:</t>
  </si>
  <si>
    <t>Filename:</t>
  </si>
  <si>
    <t>New Duplicated Workspace Information:</t>
  </si>
  <si>
    <t>(insert output folder in cell below)</t>
  </si>
  <si>
    <t>Click on the button to the left to display a list of the lines in the workspace that will be replaced</t>
  </si>
  <si>
    <t>The Workspace Duplicator - Version 0.3</t>
  </si>
  <si>
    <t>By RGS on 29/02/2012</t>
  </si>
  <si>
    <t>BMT_WBM_Colour_40_x_12mm</t>
  </si>
  <si>
    <t>WWWDRAWING_NAMEWWW.wor</t>
  </si>
  <si>
    <t>XXX ENTER TITLE HERE XXX\nYY SECOND ROW YY</t>
  </si>
  <si>
    <t>Peak Flood Surface Level\n63% AEP (1 year ARI)</t>
  </si>
  <si>
    <t>Peak Flood Surface Level\n18% AEP (5 year ARI)</t>
  </si>
  <si>
    <t>Peak Flood Surface Level\n10% AEP (10 year ARI)</t>
  </si>
  <si>
    <t>Peak Flood Surface Level\n2% AEP (50 year ARI)</t>
  </si>
  <si>
    <t>Peak Flood Surface Level\n1% AEP (100 year ARI)</t>
  </si>
  <si>
    <t>Peak Flood Depth\n63% AEP (1 year ARI)</t>
  </si>
  <si>
    <t>Peak Flood Depth\n18% AEP (5 year ARI)</t>
  </si>
  <si>
    <t>Peak Flood Depth\n10% AEP (10 year ARI)</t>
  </si>
  <si>
    <t>Peak Flood Depth\n2% AEP (50 year ARI)</t>
  </si>
  <si>
    <t>Peak Flood Depth\n1% AEP (100 year ARI)</t>
  </si>
  <si>
    <t>Peak Flood Velocity\n63% AEP (1 year ARI)</t>
  </si>
  <si>
    <t>Peak Flood Velocity\n18% AEP (5 year ARI)</t>
  </si>
  <si>
    <t>Peak Flood Velocity\n10% AEP (10 year ARI)</t>
  </si>
  <si>
    <t>Peak Flood Velocity\n2% AEP (50 year ARI)</t>
  </si>
  <si>
    <t>Peak Flood Velocity\n1% AEP (100 year ARI)</t>
  </si>
  <si>
    <t>Peak Flood Velocity Depth Product\n63% AEP (1 year ARI)</t>
  </si>
  <si>
    <t>Peak Flood Velocity Depth Product\n18% AEP (5 year ARI)</t>
  </si>
  <si>
    <t>Peak Flood Velocity Depth Product\n10% AEP (10 year ARI)</t>
  </si>
  <si>
    <t>Peak Flood Velocity Depth Product\n2% AEP (50 year ARI)</t>
  </si>
  <si>
    <t>Peak Flood Velocity Depth Product\n1% AEP (100 year ARI)</t>
  </si>
  <si>
    <t>Peak Flood Hazard\n63% AEP (1 year ARI)</t>
  </si>
  <si>
    <t>Peak Flood Hazard\n18% AEP (5 year ARI)</t>
  </si>
  <si>
    <t>Peak Flood Hazard\n10% AEP (10 year ARI)</t>
  </si>
  <si>
    <t>Peak Flood Hazard\n2% AEP (50 year ARI)</t>
  </si>
  <si>
    <t>Peak Flood Hazard\n1% AEP (100 year ARI)</t>
  </si>
  <si>
    <t>FIG-NO</t>
  </si>
  <si>
    <t>DA-1A</t>
  </si>
  <si>
    <t>DA-2A</t>
  </si>
  <si>
    <t>DA-3A</t>
  </si>
  <si>
    <t>DA-4A</t>
  </si>
  <si>
    <t>DA-5A</t>
  </si>
  <si>
    <t>DA-6A</t>
  </si>
  <si>
    <t>DA-7A</t>
  </si>
  <si>
    <t>DA-8A</t>
  </si>
  <si>
    <t>DA-9A</t>
  </si>
  <si>
    <t>DA-10A</t>
  </si>
  <si>
    <t>DA-11A</t>
  </si>
  <si>
    <t>DA-12A</t>
  </si>
  <si>
    <t>DA-13A</t>
  </si>
  <si>
    <t>DA-14A</t>
  </si>
  <si>
    <t>DA-15A</t>
  </si>
  <si>
    <t>DA-16A</t>
  </si>
  <si>
    <t>DA-17A</t>
  </si>
  <si>
    <t>DA-18A</t>
  </si>
  <si>
    <t>DA-19A</t>
  </si>
  <si>
    <t>DA-20A</t>
  </si>
  <si>
    <t>DA-21A</t>
  </si>
  <si>
    <t>DA-22A</t>
  </si>
  <si>
    <t>DA-23A</t>
  </si>
  <si>
    <t>DA-24A</t>
  </si>
  <si>
    <t>DA-25A</t>
  </si>
  <si>
    <t>I:\B18029_I_CDH_Cassowary\Data\Recieved\From_CRC_120605_Aerials\CCRC 50cm Imagery\Cassowary_50cm_tiles</t>
  </si>
  <si>
    <t>Cassowary_50cm_tiles</t>
  </si>
  <si>
    <t>I:\B18921_I_cdh_Cass_Stage_1\MPI\CAD\CDW_CAD_080405_002_Cassowary_Coast_Regional_2008</t>
  </si>
  <si>
    <t>CDW_CAD_080405_002_Cassowary_C</t>
  </si>
  <si>
    <t>I:\FIGPAPER\FPA_071008\RAS\BMT WBM Colour 40 x 12mm.TAB</t>
  </si>
  <si>
    <t>Temp_Legend</t>
  </si>
  <si>
    <t>Peak Flood Surface Level Climate Change Event\n63% AEP (1 year ARI)</t>
  </si>
  <si>
    <t>Peak Flood Surface Level Climate Change Event\n18% AEP (5 year ARI)</t>
  </si>
  <si>
    <t>Peak Flood Surface Level Climate Change Event\n10% AEP (10 year ARI)</t>
  </si>
  <si>
    <t>Peak Flood Surface Level Climate Change Event\n2% AEP (50 year ARI)</t>
  </si>
  <si>
    <t>Peak Flood Surface Level Climate Change Event\n1% AEP (100 year ARI)</t>
  </si>
  <si>
    <t>Peak Flood Depth Climate Change Event\n63% AEP (1 year ARI)</t>
  </si>
  <si>
    <t>Peak Flood Depth Climate Change Event\n18% AEP (5 year ARI)</t>
  </si>
  <si>
    <t>Peak Flood Depth Climate Change Event\n10% AEP (10 year ARI)</t>
  </si>
  <si>
    <t>Peak Flood Depth Climate Change Event\n2% AEP (50 year ARI)</t>
  </si>
  <si>
    <t>Peak Flood Depth Climate Change Event\n1% AEP (100 year ARI)</t>
  </si>
  <si>
    <t>Peak Flood Velocity Climate Change Event\n63% AEP (1 year ARI)</t>
  </si>
  <si>
    <t>Peak Flood Velocity Climate Change Event\n18% AEP (5 year ARI)</t>
  </si>
  <si>
    <t>Peak Flood Velocity Climate Change Event\n10% AEP (10 year ARI)</t>
  </si>
  <si>
    <t>Peak Flood Velocity Climate Change Event\n2% AEP (50 year ARI)</t>
  </si>
  <si>
    <t>Peak Flood Velocity Climate Change Event\n1% AEP (100 year ARI)</t>
  </si>
  <si>
    <t>Peak Flood Velocity Depth Product Climate Change Event\n63% AEP (1 year ARI)</t>
  </si>
  <si>
    <t>Peak Flood Velocity Depth Product Climate Change Event\n18% AEP (5 year ARI)</t>
  </si>
  <si>
    <t>Peak Flood Velocity Depth Product Climate Change Event\n10% AEP (10 year ARI)</t>
  </si>
  <si>
    <t>Peak Flood Velocity Depth Product Climate Change Event\n2% AEP (50 year ARI)</t>
  </si>
  <si>
    <t>Peak Flood Velocity Depth Product Climate Change Event\n1% AEP (100 year ARI)</t>
  </si>
  <si>
    <t>Peak Flood Hazard Climate Change Event\n63% AEP (1 year ARI)</t>
  </si>
  <si>
    <t>Peak Flood Hazard Climate Change Event\n18% AEP (5 year ARI)</t>
  </si>
  <si>
    <t>Peak Flood Hazard Climate Change Event\n10% AEP (10 year ARI)</t>
  </si>
  <si>
    <t>Peak Flood Hazard Climate Change Event\n2% AEP (50 year ARI)</t>
  </si>
  <si>
    <t>Peak Flood Hazard Climate Change Event\n1% AEP (100 year ARI)</t>
  </si>
  <si>
    <t>DA-26A</t>
  </si>
  <si>
    <t>DA-27A</t>
  </si>
  <si>
    <t>DA-28A</t>
  </si>
  <si>
    <t>DA-29A</t>
  </si>
  <si>
    <t>DA-30A</t>
  </si>
  <si>
    <t>DA-31A</t>
  </si>
  <si>
    <t>DA-32A</t>
  </si>
  <si>
    <t>DA-33A</t>
  </si>
  <si>
    <t>DA-34A</t>
  </si>
  <si>
    <t>DA-35A</t>
  </si>
  <si>
    <t>DA-36A</t>
  </si>
  <si>
    <t>DA-37A</t>
  </si>
  <si>
    <t>DA-38A</t>
  </si>
  <si>
    <t>DA-39A</t>
  </si>
  <si>
    <t>DA-40A</t>
  </si>
  <si>
    <t>DA-41A</t>
  </si>
  <si>
    <t>DA-42A</t>
  </si>
  <si>
    <t>DA-43A</t>
  </si>
  <si>
    <t>DA-44A</t>
  </si>
  <si>
    <t>DA-45A</t>
  </si>
  <si>
    <t>DA-46A</t>
  </si>
  <si>
    <t>DA-47A</t>
  </si>
  <si>
    <t>DA-48A</t>
  </si>
  <si>
    <t>DA-49A</t>
  </si>
  <si>
    <t>DA-50A</t>
  </si>
  <si>
    <t>I:\B18921_I_cdh_Cass_Stage_1\DRG\Mission_Beach_MDS\Drawing_Addendum\FLD_XXX_150504_Template_A.wor</t>
  </si>
  <si>
    <t>I:\FIGPAPER\FPA_071008\MPI\GIS_001_071004_A4 Frame Text Portrait</t>
  </si>
  <si>
    <t>GIS_001_071004_A4_Frame_T_2</t>
  </si>
  <si>
    <t>I:\FIGPAPER\FPA_071008\MPI\GIS_001_071004_A4 Frame Portrait</t>
  </si>
  <si>
    <t>GIS_001_071004_A4_Frame_P_2</t>
  </si>
  <si>
    <t>I:\B18921_I_cdh_Cass_Stage_1\MPI\Scale_2km_MissionBeaches</t>
  </si>
  <si>
    <t>Scale_2km_MissionBeaches</t>
  </si>
  <si>
    <t>I:\B18921_I_cdh_Cass_Stage_1\MPI\Scale_750m</t>
  </si>
  <si>
    <t>Scale_750m</t>
  </si>
  <si>
    <t>I:\B18921_I_cdh_Cass_Stage_1\MPI\Scale_1km</t>
  </si>
  <si>
    <t>Scale_1km</t>
  </si>
  <si>
    <t>I:\B18921_I_cdh_Cass_Stage_1\MPI\scale_5km</t>
  </si>
  <si>
    <t>scale_5km</t>
  </si>
  <si>
    <t>I:\B18921_I_cdh_Cass_Stage_1\MPI\scale_2km_InnisfailEast</t>
  </si>
  <si>
    <t>scale_2km_InnisfailEast</t>
  </si>
  <si>
    <t>I:\B18921_I_cdh_Cass_Stage_1\MPI\Scale_500m</t>
  </si>
  <si>
    <t>Scale_500m</t>
  </si>
  <si>
    <t>I:\B18029_I_CDH_Cassowary\Data\Recieved\From_CRC_120605_Aerials\CCRC 50cm Imagery\8162-3311.TAB</t>
  </si>
  <si>
    <t>_8162_3311</t>
  </si>
  <si>
    <t>I:\B18029_I_CDH_Cassowary\Data\Recieved\From_CRC_120605_Aerials\CCRC 50cm Imagery\8162-3422.TAB</t>
  </si>
  <si>
    <t>_8162_3422</t>
  </si>
  <si>
    <t>I:\B18029_I_CDH_Cassowary\Data\Recieved\From_CRC_120605_Aerials\CCRC 50cm Imagery\8162-3423.TAB</t>
  </si>
  <si>
    <t>_8162_3423</t>
  </si>
  <si>
    <t>I:\B18029_I_CDH_Cassowary\Data\Recieved\From_CRC_120605_Aerials\CCRC 50cm Imagery\8162-3314.TAB</t>
  </si>
  <si>
    <t>_8162_3314</t>
  </si>
  <si>
    <t>I:\B18921_I_cdh_Cass_Stage_1\MPI\TUFLOW\Mission_Beach\Model_Layout\2d_code_Mis_002</t>
  </si>
  <si>
    <t>_2d_code_Mis_002</t>
  </si>
  <si>
    <t>I:\B18921_I_cdh_Cass_Stage_1\MPI\TUFLOW\Mission_Beach\Text_MissionBeach_LayoutA</t>
  </si>
  <si>
    <t>Text_MissionBeach_LayoutA</t>
  </si>
  <si>
    <t>I:\B18921_I_cdh_Cass_Stage_1\MPI\Legends\Mission_Beaches\Temp_Legend</t>
  </si>
  <si>
    <t>I:\B18921_I_cdh_Cass_Stage_1\MPI\TUFLOW\Mission_Beach\MDS_Results\MISS_Q010_AllHrs_EC_Mit0_002.TAB</t>
  </si>
  <si>
    <t>MISS_Q010_AllHrs_EC_Mit0_002</t>
  </si>
  <si>
    <t>New MI Layer File Name for Index 18</t>
  </si>
  <si>
    <t>New MI Layer Name for Index 18</t>
  </si>
  <si>
    <t>New MI Layer File Name for Index 19</t>
  </si>
  <si>
    <t>New MI Layer Name for Index 19</t>
  </si>
  <si>
    <t>I:\B18921_I_cdh_Cass_Stage_1\MPI\Legends\Mission_Beaches\Miss_hmax_classified_Legend.TAB</t>
  </si>
  <si>
    <t>Miss_hmax_classified_Legend</t>
  </si>
  <si>
    <t>I:\B18921_I_cdh_Cass_Stage_1\MPI\Legends\Mission_Beaches\Miss_dmax_classified_Legend.TAB</t>
  </si>
  <si>
    <t>Miss_dmax_classified_Legend</t>
  </si>
  <si>
    <t>I:\B18921_I_cdh_Cass_Stage_1\MPI\Legends\Mission_Beaches\Miss_vmax_classified_Legend.TAB</t>
  </si>
  <si>
    <t>Miss_vmax_classified_Legend</t>
  </si>
  <si>
    <t>I:\B18921_I_cdh_Cass_Stage_1\MPI\Legends\Mission_Beaches\Miss_z0max_classified_Legend.TAB</t>
  </si>
  <si>
    <t>Miss_z0max_classified_Legend</t>
  </si>
  <si>
    <t>I:\B18921_I_cdh_Cass_Stage_1\MPI\Legends\Mission_Beaches\Miss_z4max_classified_Legend.TAB</t>
  </si>
  <si>
    <t>Miss_z4max_classified_Legend</t>
  </si>
  <si>
    <t>FLD</t>
  </si>
  <si>
    <t>001</t>
  </si>
  <si>
    <t>002</t>
  </si>
  <si>
    <t>003</t>
  </si>
  <si>
    <t>004</t>
  </si>
  <si>
    <t>005</t>
  </si>
  <si>
    <t>006</t>
  </si>
  <si>
    <t>007</t>
  </si>
  <si>
    <t>008</t>
  </si>
  <si>
    <t>009</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</si>
  <si>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</si>
  <si>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</si>
  <si>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</si>
  <si>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</si>
  <si>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</si>
  <si>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</si>
  <si>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</si>
  <si>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</si>
  <si>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</si>
  <si>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</si>
  <si>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</si>
  <si>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</si>
  <si>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</si>
  <si>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</si>
  <si>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</si>
  <si>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</si>
  <si>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</si>
  <si>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</si>
  <si>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</si>
  <si>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</si>
  <si>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</si>
  <si>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</si>
  <si>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</si>
  <si>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</si>
  <si>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</si>
  <si>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</si>
  <si>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</si>
  <si>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</si>
  <si>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</si>
  <si>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</si>
  <si>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</si>
  <si>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</si>
  <si>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</si>
  <si>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</si>
  <si>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</si>
  <si>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</si>
  <si>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</si>
  <si>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</si>
  <si>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</si>
  <si>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</si>
  <si>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</si>
  <si>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EC</t>
  </si>
  <si>
    <t>Q001</t>
  </si>
  <si>
    <t>WSL</t>
  </si>
  <si>
    <t>A</t>
  </si>
  <si>
    <t>B</t>
  </si>
  <si>
    <t>C</t>
  </si>
  <si>
    <t>Q005</t>
  </si>
  <si>
    <t>Q010</t>
  </si>
  <si>
    <t>Q050</t>
  </si>
  <si>
    <t>Q100</t>
  </si>
  <si>
    <t>DEP</t>
  </si>
  <si>
    <t>VEL</t>
  </si>
  <si>
    <t>VxD</t>
  </si>
  <si>
    <t>HAZ</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</si>
  <si>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</si>
  <si>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</si>
  <si>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</si>
  <si>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</si>
  <si>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</si>
  <si>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</si>
  <si>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</si>
  <si>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</si>
  <si>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</si>
  <si>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</si>
  <si>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</si>
  <si>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</si>
  <si>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</si>
  <si>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</si>
  <si>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</si>
  <si>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</si>
  <si>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</si>
  <si>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</si>
  <si>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</si>
  <si>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</si>
  <si>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</si>
  <si>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</si>
  <si>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</si>
  <si>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</si>
  <si>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</si>
  <si>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FC</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</si>
  <si>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</si>
  <si>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</si>
  <si>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</si>
  <si>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</si>
  <si>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</si>
  <si>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</si>
  <si>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</si>
  <si>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</si>
  <si>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</si>
  <si>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</si>
  <si>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</si>
  <si>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</si>
  <si>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</si>
  <si>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</si>
  <si>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</si>
  <si>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</si>
  <si>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</si>
  <si>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</si>
  <si>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</si>
  <si>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</si>
  <si>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</si>
  <si>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</si>
  <si>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</si>
  <si>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</si>
  <si>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</si>
  <si>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</si>
  <si>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</si>
  <si>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</si>
  <si>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</si>
  <si>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</si>
  <si>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</si>
  <si>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</si>
  <si>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</si>
  <si>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</si>
  <si>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</si>
  <si>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</si>
  <si>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</si>
  <si>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</si>
  <si>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</si>
  <si>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</si>
  <si>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</si>
  <si>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</si>
  <si>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</si>
  <si>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</si>
  <si>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</si>
  <si>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</si>
  <si>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</si>
  <si>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</si>
  <si>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</si>
  <si>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</si>
  <si>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</si>
  <si>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</si>
  <si>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</si>
  <si>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</si>
  <si>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</si>
  <si>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</si>
  <si>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</si>
  <si>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</si>
  <si>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</si>
  <si>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</si>
  <si>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</si>
  <si>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</si>
  <si>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</si>
  <si>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</si>
  <si>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</si>
  <si>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</si>
  <si>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</si>
  <si>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</si>
  <si>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</si>
  <si>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</si>
  <si>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</si>
  <si>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</si>
  <si>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</si>
  <si>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</si>
  <si>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</si>
  <si>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wor</t>
  </si>
  <si>
    <t>FLD_001_150504_EC_Q001_WSL_A.wor</t>
  </si>
  <si>
    <t>FLD_004_150504_EC_Q005_WSL_A.wor</t>
  </si>
  <si>
    <t>FLD_007_150504_EC_Q010_WSL_A.wor</t>
  </si>
  <si>
    <t>FLD_010_150504_EC_Q050_WSL_A.wor</t>
  </si>
  <si>
    <t>FLD_013_150504_EC_Q100_WSL_A.wor</t>
  </si>
  <si>
    <t>FLD_016_150504_EC_Q001_DEP_A.wor</t>
  </si>
  <si>
    <t>FLD_019_150504_EC_Q005_DEP_A.wor</t>
  </si>
  <si>
    <t>FLD_022_150504_EC_Q010_DEP_A.wor</t>
  </si>
  <si>
    <t>FLD_025_150504_EC_Q050_DEP_A.wor</t>
  </si>
  <si>
    <t>FLD_028_150504_EC_Q100_DEP_A.wor</t>
  </si>
  <si>
    <t>FLD_031_150504_EC_Q001_VEL_A.wor</t>
  </si>
  <si>
    <t>FLD_034_150504_EC_Q005_VEL_A.wor</t>
  </si>
  <si>
    <t>FLD_037_150504_EC_Q010_VEL_A.wor</t>
  </si>
  <si>
    <t>FLD_040_150504_EC_Q050_VEL_A.wor</t>
  </si>
  <si>
    <t>FLD_043_150504_EC_Q100_VEL_A.wor</t>
  </si>
  <si>
    <t>FLD_046_150504_EC_Q001_VxD_A.wor</t>
  </si>
  <si>
    <t>FLD_049_150504_EC_Q005_VxD_A.wor</t>
  </si>
  <si>
    <t>FLD_052_150504_EC_Q010_VxD_A.wor</t>
  </si>
  <si>
    <t>FLD_055_150504_EC_Q050_VxD_A.wor</t>
  </si>
  <si>
    <t>FLD_058_150504_EC_Q100_VxD_A.wor</t>
  </si>
  <si>
    <t>FLD_061_150504_EC_Q001_HAZ_A.wor</t>
  </si>
  <si>
    <t>FLD_064_150504_EC_Q005_HAZ_A.wor</t>
  </si>
  <si>
    <t>FLD_067_150504_EC_Q010_HAZ_A.wor</t>
  </si>
  <si>
    <t>FLD_070_150504_EC_Q050_HAZ_A.wor</t>
  </si>
  <si>
    <t>FLD_073_150504_EC_Q100_HAZ_A.wor</t>
  </si>
  <si>
    <t>FLD_076_150504_FC_Q001_WSL_A.wor</t>
  </si>
  <si>
    <t>FLD_079_150504_FC_Q005_WSL_A.wor</t>
  </si>
  <si>
    <t>FLD_082_150504_FC_Q010_WSL_A.wor</t>
  </si>
  <si>
    <t>FLD_085_150504_FC_Q050_WSL_A.wor</t>
  </si>
  <si>
    <t>FLD_088_150504_FC_Q100_WSL_A.wor</t>
  </si>
  <si>
    <t>FLD_091_150504_FC_Q001_DEP_A.wor</t>
  </si>
  <si>
    <t>FLD_094_150504_FC_Q005_DEP_A.wor</t>
  </si>
  <si>
    <t>FLD_097_150504_FC_Q010_DEP_A.wor</t>
  </si>
  <si>
    <t>FLD_100_150504_FC_Q050_DEP_A.wor</t>
  </si>
  <si>
    <t>FLD_103_150504_FC_Q100_DEP_A.wor</t>
  </si>
  <si>
    <t>FLD_106_150504_FC_Q001_VEL_A.wor</t>
  </si>
  <si>
    <t>FLD_109_150504_FC_Q005_VEL_A.wor</t>
  </si>
  <si>
    <t>FLD_112_150504_FC_Q010_VEL_A.wor</t>
  </si>
  <si>
    <t>FLD_115_150504_FC_Q050_VEL_A.wor</t>
  </si>
  <si>
    <t>FLD_118_150504_FC_Q100_VEL_A.wor</t>
  </si>
  <si>
    <t>FLD_121_150504_FC_Q001_VxD_A.wor</t>
  </si>
  <si>
    <t>FLD_124_150504_FC_Q005_VxD_A.wor</t>
  </si>
  <si>
    <t>FLD_127_150504_FC_Q010_VxD_A.wor</t>
  </si>
  <si>
    <t>FLD_130_150504_FC_Q050_VxD_A.wor</t>
  </si>
  <si>
    <t>FLD_133_150504_FC_Q100_VxD_A.wor</t>
  </si>
  <si>
    <t>FLD_136_150504_FC_Q001_HAZ_A.wor</t>
  </si>
  <si>
    <t>FLD_139_150504_FC_Q005_HAZ_A.wor</t>
  </si>
  <si>
    <t>FLD_142_150504_FC_Q010_HAZ_A.wor</t>
  </si>
  <si>
    <t>FLD_145_150504_FC_Q050_HAZ_A.wor</t>
  </si>
  <si>
    <t>FLD_148_150504_FC_Q100_HAZ_A.wor</t>
  </si>
  <si>
    <t>I:\B18921_I_cdh_Cass_Stage_1\DRG\Mission_Beach_MDS\Drawing_Addendum</t>
  </si>
  <si>
    <t>I:\B18921_I_cdh_Cass_Stage_1\MPI\TUFLOW\Mission_Beach\MDS_Results\EC\Miss_Q001_EC_Mit0_003_hmax_classified.tab</t>
  </si>
  <si>
    <t>Miss_Q001_EC_Mit0_003_hmax_classified</t>
  </si>
  <si>
    <t>I:\B18921_I_cdh_Cass_Stage_1\MPI\TUFLOW\Mission_Beach\MDS_Results\EC\Miss_Q005_EC_Mit0_003_hmax_classified.tab</t>
  </si>
  <si>
    <t>Miss_Q005_EC_Mit0_003_hmax_classified</t>
  </si>
  <si>
    <t>I:\B18921_I_cdh_Cass_Stage_1\MPI\TUFLOW\Mission_Beach\MDS_Results\EC\Miss_Q010_EC_Mit0_003_hmax_classified.tab</t>
  </si>
  <si>
    <t>Miss_Q010_EC_Mit0_003_hmax_classified</t>
  </si>
  <si>
    <t>I:\B18921_I_cdh_Cass_Stage_1\MPI\TUFLOW\Mission_Beach\MDS_Results\EC\Miss_Q050_EC_Mit0_003_hmax_classified.tab</t>
  </si>
  <si>
    <t>Miss_Q050_EC_Mit0_003_hmax_classified</t>
  </si>
  <si>
    <t>I:\B18921_I_cdh_Cass_Stage_1\MPI\TUFLOW\Mission_Beach\MDS_Results\EC\Miss_Q100_EC_Mit0_003_hmax_classified.tab</t>
  </si>
  <si>
    <t>Miss_Q100_EC_Mit0_003_hmax_classified</t>
  </si>
  <si>
    <t>I:\B18921_I_cdh_Cass_Stage_1\MPI\TUFLOW\Mission_Beach\MDS_Results\EC\Miss_Q001_EC_Mit0_003_dmax_classified.tab</t>
  </si>
  <si>
    <t>Miss_Q001_EC_Mit0_003_dmax_classified</t>
  </si>
  <si>
    <t>I:\B18921_I_cdh_Cass_Stage_1\MPI\TUFLOW\Mission_Beach\MDS_Results\EC\Miss_Q005_EC_Mit0_003_dmax_classified.tab</t>
  </si>
  <si>
    <t>Miss_Q005_EC_Mit0_003_dmax_classified</t>
  </si>
  <si>
    <t>I:\B18921_I_cdh_Cass_Stage_1\MPI\TUFLOW\Mission_Beach\MDS_Results\EC\Miss_Q010_EC_Mit0_003_dmax_classified.tab</t>
  </si>
  <si>
    <t>Miss_Q010_EC_Mit0_003_dmax_classified</t>
  </si>
  <si>
    <t>I:\B18921_I_cdh_Cass_Stage_1\MPI\TUFLOW\Mission_Beach\MDS_Results\EC\Miss_Q050_EC_Mit0_003_dmax_classified.tab</t>
  </si>
  <si>
    <t>Miss_Q050_EC_Mit0_003_dmax_classified</t>
  </si>
  <si>
    <t>I:\B18921_I_cdh_Cass_Stage_1\MPI\TUFLOW\Mission_Beach\MDS_Results\EC\Miss_Q100_EC_Mit0_003_dmax_classified.tab</t>
  </si>
  <si>
    <t>Miss_Q100_EC_Mit0_003_dmax_classified</t>
  </si>
  <si>
    <t>I:\B18921_I_cdh_Cass_Stage_1\MPI\TUFLOW\Mission_Beach\MDS_Results\EC\Miss_Q001_EC_Mit0_003_vmax_classified.tab</t>
  </si>
  <si>
    <t>Miss_Q001_EC_Mit0_003_vmax_classified</t>
  </si>
  <si>
    <t>I:\B18921_I_cdh_Cass_Stage_1\MPI\TUFLOW\Mission_Beach\MDS_Results\EC\Miss_Q005_EC_Mit0_003_vmax_classified.tab</t>
  </si>
  <si>
    <t>Miss_Q005_EC_Mit0_003_vmax_classified</t>
  </si>
  <si>
    <t>I:\B18921_I_cdh_Cass_Stage_1\MPI\TUFLOW\Mission_Beach\MDS_Results\EC\Miss_Q010_EC_Mit0_003_vmax_classified.tab</t>
  </si>
  <si>
    <t>Miss_Q010_EC_Mit0_003_vmax_classified</t>
  </si>
  <si>
    <t>I:\B18921_I_cdh_Cass_Stage_1\MPI\TUFLOW\Mission_Beach\MDS_Results\EC\Miss_Q050_EC_Mit0_003_vmax_classified.tab</t>
  </si>
  <si>
    <t>Miss_Q050_EC_Mit0_003_vmax_classified</t>
  </si>
  <si>
    <t>I:\B18921_I_cdh_Cass_Stage_1\MPI\TUFLOW\Mission_Beach\MDS_Results\EC\Miss_Q100_EC_Mit0_003_vmax_classified.tab</t>
  </si>
  <si>
    <t>Miss_Q100_EC_Mit0_003_vmax_classified</t>
  </si>
  <si>
    <t>I:\B18921_I_cdh_Cass_Stage_1\MPI\TUFLOW\Mission_Beach\MDS_Results\EC\Miss_Q001_EC_Mit0_003_z0max_classified.tab</t>
  </si>
  <si>
    <t>Miss_Q001_EC_Mit0_003_z0max_classified</t>
  </si>
  <si>
    <t>I:\B18921_I_cdh_Cass_Stage_1\MPI\TUFLOW\Mission_Beach\MDS_Results\EC\Miss_Q005_EC_Mit0_003_z0max_classified.tab</t>
  </si>
  <si>
    <t>Miss_Q005_EC_Mit0_003_z0max_classified</t>
  </si>
  <si>
    <t>I:\B18921_I_cdh_Cass_Stage_1\MPI\TUFLOW\Mission_Beach\MDS_Results\EC\Miss_Q010_EC_Mit0_003_z0max_classified.tab</t>
  </si>
  <si>
    <t>Miss_Q010_EC_Mit0_003_z0max_classified</t>
  </si>
  <si>
    <t>I:\B18921_I_cdh_Cass_Stage_1\MPI\TUFLOW\Mission_Beach\MDS_Results\EC\Miss_Q050_EC_Mit0_003_z0max_classified.tab</t>
  </si>
  <si>
    <t>Miss_Q050_EC_Mit0_003_z0max_classified</t>
  </si>
  <si>
    <t>I:\B18921_I_cdh_Cass_Stage_1\MPI\TUFLOW\Mission_Beach\MDS_Results\EC\Miss_Q100_EC_Mit0_003_z0max_classified.tab</t>
  </si>
  <si>
    <t>Miss_Q100_EC_Mit0_003_z0max_classified</t>
  </si>
  <si>
    <t>I:\B18921_I_cdh_Cass_Stage_1\MPI\TUFLOW\Mission_Beach\MDS_Results\EC\Miss_Q001_EC_Mit0_003_z4max_classified.tab</t>
  </si>
  <si>
    <t>Miss_Q001_EC_Mit0_003_z4max_classified</t>
  </si>
  <si>
    <t>I:\B18921_I_cdh_Cass_Stage_1\MPI\TUFLOW\Mission_Beach\MDS_Results\EC\Miss_Q005_EC_Mit0_003_z4max_classified.tab</t>
  </si>
  <si>
    <t>Miss_Q005_EC_Mit0_003_z4max_classified</t>
  </si>
  <si>
    <t>I:\B18921_I_cdh_Cass_Stage_1\MPI\TUFLOW\Mission_Beach\MDS_Results\EC\Miss_Q010_EC_Mit0_003_z4max_classified.tab</t>
  </si>
  <si>
    <t>Miss_Q010_EC_Mit0_003_z4max_classified</t>
  </si>
  <si>
    <t>I:\B18921_I_cdh_Cass_Stage_1\MPI\TUFLOW\Mission_Beach\MDS_Results\EC\Miss_Q050_EC_Mit0_003_z4max_classified.tab</t>
  </si>
  <si>
    <t>Miss_Q050_EC_Mit0_003_z4max_classified</t>
  </si>
  <si>
    <t>I:\B18921_I_cdh_Cass_Stage_1\MPI\TUFLOW\Mission_Beach\MDS_Results\EC\Miss_Q100_EC_Mit0_003_z4max_classified.tab</t>
  </si>
  <si>
    <t>Miss_Q100_EC_Mit0_003_z4max_classified</t>
  </si>
  <si>
    <t>I:\B18921_I_cdh_Cass_Stage_1\MPI\TUFLOW\Mission_Beach\MDS_Results\FC\Miss_Q001_FC_Mit0_003_hmax_classified.tab</t>
  </si>
  <si>
    <t>Miss_Q001_FC_Mit0_003_hmax_classified</t>
  </si>
  <si>
    <t>I:\B18921_I_cdh_Cass_Stage_1\MPI\TUFLOW\Mission_Beach\MDS_Results\FC\Miss_Q005_FC_Mit0_003_hmax_classified.tab</t>
  </si>
  <si>
    <t>Miss_Q005_FC_Mit0_003_hmax_classified</t>
  </si>
  <si>
    <t>I:\B18921_I_cdh_Cass_Stage_1\MPI\TUFLOW\Mission_Beach\MDS_Results\FC\Miss_Q010_FC_Mit0_003_hmax_classified.tab</t>
  </si>
  <si>
    <t>Miss_Q010_FC_Mit0_003_hmax_classified</t>
  </si>
  <si>
    <t>I:\B18921_I_cdh_Cass_Stage_1\MPI\TUFLOW\Mission_Beach\MDS_Results\FC\Miss_Q050_FC_Mit0_003_hmax_classified.tab</t>
  </si>
  <si>
    <t>Miss_Q050_FC_Mit0_003_hmax_classified</t>
  </si>
  <si>
    <t>I:\B18921_I_cdh_Cass_Stage_1\MPI\TUFLOW\Mission_Beach\MDS_Results\FC\Miss_Q100_FC_Mit0_003_hmax_classified.tab</t>
  </si>
  <si>
    <t>Miss_Q100_FC_Mit0_003_hmax_classified</t>
  </si>
  <si>
    <t>I:\B18921_I_cdh_Cass_Stage_1\MPI\TUFLOW\Mission_Beach\MDS_Results\FC\Miss_Q001_FC_Mit0_003_dmax_classified.tab</t>
  </si>
  <si>
    <t>Miss_Q001_FC_Mit0_003_dmax_classified</t>
  </si>
  <si>
    <t>I:\B18921_I_cdh_Cass_Stage_1\MPI\TUFLOW\Mission_Beach\MDS_Results\FC\Miss_Q005_FC_Mit0_003_dmax_classified.tab</t>
  </si>
  <si>
    <t>Miss_Q005_FC_Mit0_003_dmax_classified</t>
  </si>
  <si>
    <t>I:\B18921_I_cdh_Cass_Stage_1\MPI\TUFLOW\Mission_Beach\MDS_Results\FC\Miss_Q010_FC_Mit0_003_dmax_classified.tab</t>
  </si>
  <si>
    <t>Miss_Q010_FC_Mit0_003_dmax_classified</t>
  </si>
  <si>
    <t>I:\B18921_I_cdh_Cass_Stage_1\MPI\TUFLOW\Mission_Beach\MDS_Results\FC\Miss_Q050_FC_Mit0_003_dmax_classified.tab</t>
  </si>
  <si>
    <t>Miss_Q050_FC_Mit0_003_dmax_classified</t>
  </si>
  <si>
    <t>I:\B18921_I_cdh_Cass_Stage_1\MPI\TUFLOW\Mission_Beach\MDS_Results\FC\Miss_Q100_FC_Mit0_003_dmax_classified.tab</t>
  </si>
  <si>
    <t>Miss_Q100_FC_Mit0_003_dmax_classified</t>
  </si>
  <si>
    <t>I:\B18921_I_cdh_Cass_Stage_1\MPI\TUFLOW\Mission_Beach\MDS_Results\FC\Miss_Q001_FC_Mit0_003_vmax_classified.tab</t>
  </si>
  <si>
    <t>Miss_Q001_FC_Mit0_003_vmax_classified</t>
  </si>
  <si>
    <t>I:\B18921_I_cdh_Cass_Stage_1\MPI\TUFLOW\Mission_Beach\MDS_Results\FC\Miss_Q005_FC_Mit0_003_vmax_classified.tab</t>
  </si>
  <si>
    <t>Miss_Q005_FC_Mit0_003_vmax_classified</t>
  </si>
  <si>
    <t>I:\B18921_I_cdh_Cass_Stage_1\MPI\TUFLOW\Mission_Beach\MDS_Results\FC\Miss_Q010_FC_Mit0_003_vmax_classified.tab</t>
  </si>
  <si>
    <t>Miss_Q010_FC_Mit0_003_vmax_classified</t>
  </si>
  <si>
    <t>I:\B18921_I_cdh_Cass_Stage_1\MPI\TUFLOW\Mission_Beach\MDS_Results\FC\Miss_Q050_FC_Mit0_003_vmax_classified.tab</t>
  </si>
  <si>
    <t>Miss_Q050_FC_Mit0_003_vmax_classified</t>
  </si>
  <si>
    <t>I:\B18921_I_cdh_Cass_Stage_1\MPI\TUFLOW\Mission_Beach\MDS_Results\FC\Miss_Q100_FC_Mit0_003_vmax_classified.tab</t>
  </si>
  <si>
    <t>Miss_Q100_FC_Mit0_003_vmax_classified</t>
  </si>
  <si>
    <t>I:\B18921_I_cdh_Cass_Stage_1\MPI\TUFLOW\Mission_Beach\MDS_Results\FC\Miss_Q001_FC_Mit0_003_z0max_classified.tab</t>
  </si>
  <si>
    <t>Miss_Q001_FC_Mit0_003_z0max_classified</t>
  </si>
  <si>
    <t>I:\B18921_I_cdh_Cass_Stage_1\MPI\TUFLOW\Mission_Beach\MDS_Results\FC\Miss_Q005_FC_Mit0_003_z0max_classified.tab</t>
  </si>
  <si>
    <t>Miss_Q005_FC_Mit0_003_z0max_classified</t>
  </si>
  <si>
    <t>I:\B18921_I_cdh_Cass_Stage_1\MPI\TUFLOW\Mission_Beach\MDS_Results\FC\Miss_Q010_FC_Mit0_003_z0max_classified.tab</t>
  </si>
  <si>
    <t>Miss_Q010_FC_Mit0_003_z0max_classified</t>
  </si>
  <si>
    <t>I:\B18921_I_cdh_Cass_Stage_1\MPI\TUFLOW\Mission_Beach\MDS_Results\FC\Miss_Q050_FC_Mit0_003_z0max_classified.tab</t>
  </si>
  <si>
    <t>Miss_Q050_FC_Mit0_003_z0max_classified</t>
  </si>
  <si>
    <t>I:\B18921_I_cdh_Cass_Stage_1\MPI\TUFLOW\Mission_Beach\MDS_Results\FC\Miss_Q100_FC_Mit0_003_z0max_classified.tab</t>
  </si>
  <si>
    <t>Miss_Q100_FC_Mit0_003_z0max_classified</t>
  </si>
  <si>
    <t>I:\B18921_I_cdh_Cass_Stage_1\MPI\TUFLOW\Mission_Beach\MDS_Results\FC\Miss_Q001_FC_Mit0_003_z4max_classified.tab</t>
  </si>
  <si>
    <t>Miss_Q001_FC_Mit0_003_z4max_classified</t>
  </si>
  <si>
    <t>I:\B18921_I_cdh_Cass_Stage_1\MPI\TUFLOW\Mission_Beach\MDS_Results\FC\Miss_Q005_FC_Mit0_003_z4max_classified.tab</t>
  </si>
  <si>
    <t>Miss_Q005_FC_Mit0_003_z4max_classified</t>
  </si>
  <si>
    <t>I:\B18921_I_cdh_Cass_Stage_1\MPI\TUFLOW\Mission_Beach\MDS_Results\FC\Miss_Q010_FC_Mit0_003_z4max_classified.tab</t>
  </si>
  <si>
    <t>Miss_Q010_FC_Mit0_003_z4max_classified</t>
  </si>
  <si>
    <t>I:\B18921_I_cdh_Cass_Stage_1\MPI\TUFLOW\Mission_Beach\MDS_Results\FC\Miss_Q050_FC_Mit0_003_z4max_classified.tab</t>
  </si>
  <si>
    <t>Miss_Q050_FC_Mit0_003_z4max_classified</t>
  </si>
  <si>
    <t>I:\B18921_I_cdh_Cass_Stage_1\MPI\TUFLOW\Mission_Beach\MDS_Results\FC\Miss_Q100_FC_Mit0_003_z4max_classified.tab</t>
  </si>
  <si>
    <t>Miss_Q100_FC_Mit0_003_z4max_classified</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</si>
</sst>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b/>
      <sz val="11"/>
      <color theme="1"/>
      <name val="Calibri"/>
      <family val="2"/>
      <scheme val="minor"/>
    </font>
    <font>
      <sz val="11"/>
      <color rgb="FF006100"/>
      <name val="Calibri"/>
      <family val="2"/>
      <scheme val="minor"/>
    </font>
    <font>
      <i/>
      <sz val="11"/>
      <color theme="1"/>
      <name val="Calibri"/>
      <family val="2"/>
      <scheme val="minor"/>
    </font>
    <font>
      <b/>
      <sz val="14"/>
      <color theme="1"/>
      <name val="Calibri"/>
      <family val="2"/>
      <scheme val="minor"/>
    </font>
    <font>
      <u/>
      <sz val="11"/>
      <color theme="10"/>
      <name val="Calibri"/>
      <family val="2"/>
      <scheme val="minor"/>
    </font>
    <font>
      <b/>
      <sz val="11"/>
      <color rgb="FF000000"/>
      <name val="Calibri"/>
      <family val="2"/>
    </font>
    <font>
      <b/>
      <u/>
      <sz val="14"/>
      <color theme="1"/>
      <name val="Calibri"/>
      <family val="2"/>
      <scheme val="minor"/>
    </font>
  </fonts>
  <fills count="7">
    <fill>
      <patternFill patternType="none"/>
    </fill>
    <fill>
      <patternFill patternType="gray125"/>
    </fill>
    <fill>
      <patternFill patternType="solid">
        <fgColor rgb="FFC6EFCE"/>
      </patternFill>
    </fill>
    <fill>
      <patternFill patternType="solid">
        <fgColor theme="5" tint="0.79998168889431442"/>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14996795556505021"/>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2" fillId="2" borderId="0" applyNumberFormat="0" applyBorder="0" applyAlignment="0" applyProtection="0"/>
    <xf numFmtId="0" fontId="5" fillId="0" borderId="0" applyNumberFormat="0" applyFill="0" applyBorder="0" applyAlignment="0" applyProtection="0"/>
  </cellStyleXfs>
  <cellXfs count="66">
    <xf numFmtId="0" fontId="0" fillId="0" borderId="0" xfId="0"/>
    <xf numFmtId="0" fontId="1" fillId="0" borderId="0" xfId="0" applyFont="1" applyAlignment="1">
      <alignment horizontal="center"/>
    </xf>
    <xf numFmtId="0" fontId="0" fillId="0" borderId="0" xfId="0" applyAlignment="1">
      <alignment horizontal="center"/>
    </xf>
    <xf numFmtId="0" fontId="0" fillId="0" borderId="0" xfId="0" applyAlignment="1">
      <alignment vertical="center"/>
    </xf>
    <xf numFmtId="0" fontId="0" fillId="3" borderId="2" xfId="0" quotePrefix="1" applyFill="1" applyBorder="1" applyAlignment="1">
      <alignment horizontal="center" vertical="center"/>
    </xf>
    <xf numFmtId="0" fontId="0" fillId="3" borderId="3" xfId="0" applyFill="1" applyBorder="1" applyAlignment="1">
      <alignment vertical="center"/>
    </xf>
    <xf numFmtId="0" fontId="5" fillId="3" borderId="3" xfId="2" applyFill="1" applyBorder="1" applyAlignment="1">
      <alignment vertical="center"/>
    </xf>
    <xf numFmtId="0" fontId="0" fillId="3" borderId="4" xfId="0" applyFill="1" applyBorder="1" applyAlignment="1">
      <alignment vertical="center"/>
    </xf>
    <xf numFmtId="0" fontId="5" fillId="3" borderId="3" xfId="2" quotePrefix="1" applyFill="1" applyBorder="1" applyAlignment="1">
      <alignment vertical="center"/>
    </xf>
    <xf numFmtId="0" fontId="0" fillId="3" borderId="5" xfId="0" quotePrefix="1" applyFill="1" applyBorder="1" applyAlignment="1">
      <alignment horizontal="center" vertical="center"/>
    </xf>
    <xf numFmtId="0" fontId="0" fillId="3" borderId="6" xfId="0" applyFill="1" applyBorder="1" applyAlignment="1">
      <alignment vertical="center"/>
    </xf>
    <xf numFmtId="0" fontId="5" fillId="3" borderId="6" xfId="2" quotePrefix="1"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0" fillId="3" borderId="0" xfId="0" quotePrefix="1" applyFill="1" applyBorder="1" applyAlignment="1">
      <alignment vertical="center"/>
    </xf>
    <xf numFmtId="0" fontId="0" fillId="3" borderId="0" xfId="0" applyFill="1" applyBorder="1" applyAlignment="1">
      <alignment vertical="center"/>
    </xf>
    <xf numFmtId="0" fontId="0" fillId="3" borderId="9" xfId="0" applyFill="1" applyBorder="1" applyAlignment="1">
      <alignment vertical="center"/>
    </xf>
    <xf numFmtId="0" fontId="0" fillId="3" borderId="10" xfId="0" applyFill="1" applyBorder="1" applyAlignment="1">
      <alignment vertical="center"/>
    </xf>
    <xf numFmtId="0" fontId="0" fillId="3" borderId="11" xfId="0" quotePrefix="1" applyFill="1" applyBorder="1" applyAlignment="1">
      <alignment vertical="center"/>
    </xf>
    <xf numFmtId="0" fontId="0" fillId="3" borderId="11" xfId="0" applyFill="1" applyBorder="1" applyAlignment="1">
      <alignment vertical="center"/>
    </xf>
    <xf numFmtId="0" fontId="0" fillId="3" borderId="12" xfId="0" applyFill="1" applyBorder="1" applyAlignment="1">
      <alignment vertical="center"/>
    </xf>
    <xf numFmtId="0" fontId="2" fillId="2" borderId="5" xfId="1" applyBorder="1" applyAlignment="1">
      <alignment vertical="center"/>
    </xf>
    <xf numFmtId="0" fontId="2" fillId="2" borderId="6" xfId="1" applyBorder="1" applyAlignment="1">
      <alignment vertical="center"/>
    </xf>
    <xf numFmtId="0" fontId="2" fillId="2" borderId="7" xfId="1" applyBorder="1" applyAlignment="1">
      <alignment vertical="center"/>
    </xf>
    <xf numFmtId="0" fontId="2" fillId="2" borderId="10" xfId="1" applyBorder="1" applyAlignment="1">
      <alignment vertical="center"/>
    </xf>
    <xf numFmtId="0" fontId="2" fillId="2" borderId="11" xfId="1" applyBorder="1" applyAlignment="1">
      <alignment vertical="center"/>
    </xf>
    <xf numFmtId="0" fontId="2" fillId="2" borderId="12" xfId="1" applyBorder="1" applyAlignment="1">
      <alignment vertical="center"/>
    </xf>
    <xf numFmtId="0" fontId="5" fillId="3" borderId="4" xfId="2" applyFill="1" applyBorder="1" applyAlignment="1">
      <alignment vertical="center"/>
    </xf>
    <xf numFmtId="0" fontId="3" fillId="4" borderId="0" xfId="0" applyFont="1" applyFill="1" applyBorder="1"/>
    <xf numFmtId="0" fontId="0" fillId="0" borderId="5" xfId="0" applyBorder="1"/>
    <xf numFmtId="0" fontId="0" fillId="4" borderId="8" xfId="0" applyFill="1" applyBorder="1"/>
    <xf numFmtId="0" fontId="0" fillId="4" borderId="9" xfId="0" applyFill="1" applyBorder="1"/>
    <xf numFmtId="0" fontId="1" fillId="4" borderId="10" xfId="0" applyFont="1" applyFill="1" applyBorder="1"/>
    <xf numFmtId="0" fontId="1" fillId="4" borderId="1" xfId="0" applyFont="1" applyFill="1" applyBorder="1" applyAlignment="1">
      <alignment horizontal="center"/>
    </xf>
    <xf numFmtId="0" fontId="1" fillId="4" borderId="1" xfId="0" applyFont="1" applyFill="1" applyBorder="1"/>
    <xf numFmtId="0" fontId="0" fillId="4" borderId="5" xfId="0" applyFill="1" applyBorder="1"/>
    <xf numFmtId="0" fontId="1" fillId="4" borderId="10" xfId="0" applyFont="1" applyFill="1" applyBorder="1" applyAlignment="1">
      <alignment horizontal="right"/>
    </xf>
    <xf numFmtId="0" fontId="1" fillId="5" borderId="4" xfId="0" applyFont="1" applyFill="1" applyBorder="1" applyAlignment="1">
      <alignment horizontal="center"/>
    </xf>
    <xf numFmtId="0" fontId="3" fillId="0" borderId="0" xfId="0" applyFont="1" applyAlignment="1">
      <alignment horizontal="left"/>
    </xf>
    <xf numFmtId="0" fontId="3" fillId="5" borderId="1" xfId="0" applyFont="1" applyFill="1" applyBorder="1"/>
    <xf numFmtId="0" fontId="4" fillId="4" borderId="5" xfId="0" applyFont="1" applyFill="1" applyBorder="1" applyAlignment="1">
      <alignment vertical="center"/>
    </xf>
    <xf numFmtId="0" fontId="0" fillId="4" borderId="6" xfId="0" applyFill="1" applyBorder="1" applyAlignment="1">
      <alignment vertical="center"/>
    </xf>
    <xf numFmtId="0" fontId="0" fillId="4" borderId="7" xfId="0" applyFill="1" applyBorder="1" applyAlignment="1">
      <alignment vertical="center"/>
    </xf>
    <xf numFmtId="0" fontId="3" fillId="4" borderId="10" xfId="0" applyFont="1" applyFill="1" applyBorder="1" applyAlignment="1">
      <alignment vertical="center"/>
    </xf>
    <xf numFmtId="0" fontId="0" fillId="4" borderId="11" xfId="0" applyFill="1" applyBorder="1" applyAlignment="1">
      <alignment vertical="center"/>
    </xf>
    <xf numFmtId="0" fontId="0" fillId="4" borderId="12" xfId="0" applyFill="1" applyBorder="1" applyAlignment="1">
      <alignment vertical="center"/>
    </xf>
    <xf numFmtId="0" fontId="1" fillId="6" borderId="1" xfId="0" applyFont="1" applyFill="1" applyBorder="1" applyAlignment="1">
      <alignment horizontal="center"/>
    </xf>
    <xf numFmtId="0" fontId="0" fillId="0" borderId="0" xfId="0"/>
    <xf numFmtId="0" fontId="0" fillId="0" borderId="0" xfId="0"/>
    <xf numFmtId="0" fontId="0" fillId="0" borderId="0" xfId="0"/>
    <xf numFmtId="0" fontId="0" fillId="0" borderId="0" xfId="0"/>
    <xf numFmtId="0" fontId="0" fillId="0" borderId="0" xfId="0" quotePrefix="1"/>
    <xf numFmtId="0" fontId="0" fillId="3" borderId="0" xfId="0" quotePrefix="1" applyFill="1" applyBorder="1" applyAlignment="1">
      <alignment horizontal="left" vertical="center" wrapText="1"/>
    </xf>
    <xf numFmtId="0" fontId="0" fillId="3" borderId="9" xfId="0" quotePrefix="1" applyFill="1" applyBorder="1" applyAlignment="1">
      <alignment horizontal="left" vertical="center" wrapText="1"/>
    </xf>
    <xf numFmtId="0" fontId="7" fillId="4" borderId="7" xfId="0" applyFont="1" applyFill="1" applyBorder="1" applyAlignment="1">
      <alignment horizontal="center" vertical="center"/>
    </xf>
    <xf numFmtId="0" fontId="7" fillId="4" borderId="9" xfId="0" applyFont="1" applyFill="1" applyBorder="1" applyAlignment="1">
      <alignment horizontal="center" vertical="center"/>
    </xf>
    <xf numFmtId="0" fontId="4" fillId="4" borderId="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0" xfId="0" applyFont="1" applyFill="1" applyBorder="1" applyAlignment="1">
      <alignment horizontal="center" vertical="center"/>
    </xf>
    <xf numFmtId="0" fontId="4" fillId="4" borderId="9" xfId="0" applyFont="1" applyFill="1" applyBorder="1" applyAlignment="1">
      <alignment horizontal="center" vertical="center"/>
    </xf>
    <xf numFmtId="0" fontId="3" fillId="5" borderId="5" xfId="0" applyFont="1" applyFill="1" applyBorder="1" applyAlignment="1">
      <alignment horizontal="left" vertical="center" wrapText="1"/>
    </xf>
    <xf numFmtId="0" fontId="3" fillId="5" borderId="6" xfId="0" applyFont="1" applyFill="1" applyBorder="1" applyAlignment="1">
      <alignment horizontal="left" vertical="center" wrapText="1"/>
    </xf>
    <xf numFmtId="0" fontId="3" fillId="5" borderId="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cellXfs>
  <cellStyles count="3">
    <cellStyle name="Good" xfId="1" builtinId="26"/>
    <cellStyle name="Hyperlink" xfId="2" builtinId="8"/>
    <cellStyle name="Normal" xfId="0" builtinId="0"/>
  </cellStyles>
  <dxfs count="19">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0</xdr:row>
          <xdr:rowOff>22860</xdr:rowOff>
        </xdr:from>
        <xdr:to>
          <xdr:col>1</xdr:col>
          <xdr:colOff>1150620</xdr:colOff>
          <xdr:row>1</xdr:row>
          <xdr:rowOff>175260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rPr>
                <a:t>Import Workspace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22860</xdr:colOff>
          <xdr:row>0</xdr:row>
          <xdr:rowOff>22860</xdr:rowOff>
        </xdr:from>
        <xdr:to>
          <xdr:col>0</xdr:col>
          <xdr:colOff>1859280</xdr:colOff>
          <xdr:row>2</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rPr>
                <a:t>Duplicate Workspaces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22860</xdr:colOff>
          <xdr:row>0</xdr:row>
          <xdr:rowOff>0</xdr:rowOff>
        </xdr:from>
        <xdr:to>
          <xdr:col>0</xdr:col>
          <xdr:colOff>2133600</xdr:colOff>
          <xdr:row>2</xdr:row>
          <xdr:rowOff>7620</xdr:rowOff>
        </xdr:to>
        <xdr:sp macro="" textlink="">
          <xdr:nvSpPr>
            <xdr:cNvPr id="5121" name="Button 1" hidden="1">
              <a:extLst>
                <a:ext uri="{63B3BB69-23CF-44E3-9099-C40C66FF867C}">
                  <a14:compatExt spid="_x0000_s512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AU" sz="1100" b="1" i="0" u="none" strike="noStrike" baseline="0">
                  <a:solidFill>
                    <a:srgbClr val="000000"/>
                  </a:solidFill>
                  <a:latin typeface="Calibri"/>
                </a:rPr>
                <a:t>Test Text Replacement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2"/>
  <sheetViews>
    <sheetView workbookViewId="0">
      <selection activeCell="E21" sqref="E21"/>
    </sheetView>
  </sheetViews>
  <sheetFormatPr defaultRowHeight="14.4" x14ac:dyDescent="0.3"/>
  <cols>
    <col min="17" max="17" width="10.33203125" customWidth="1"/>
  </cols>
  <sheetData>
    <row r="1" spans="1:17" s="3" customFormat="1" ht="30.75" customHeight="1" x14ac:dyDescent="0.25">
      <c r="A1" s="40" t="s">
        <v>33</v>
      </c>
      <c r="B1" s="41"/>
      <c r="C1" s="41"/>
      <c r="D1" s="41"/>
      <c r="E1" s="41"/>
      <c r="F1" s="41"/>
      <c r="G1" s="41"/>
      <c r="H1" s="41"/>
      <c r="I1" s="41"/>
      <c r="J1" s="41"/>
      <c r="K1" s="41"/>
      <c r="L1" s="41"/>
      <c r="M1" s="41"/>
      <c r="N1" s="41"/>
      <c r="O1" s="41"/>
      <c r="P1" s="41"/>
      <c r="Q1" s="42"/>
    </row>
    <row r="2" spans="1:17" s="3" customFormat="1" ht="30.75" customHeight="1" x14ac:dyDescent="0.25">
      <c r="A2" s="43" t="s">
        <v>34</v>
      </c>
      <c r="B2" s="44"/>
      <c r="C2" s="44"/>
      <c r="D2" s="44"/>
      <c r="E2" s="44"/>
      <c r="F2" s="44"/>
      <c r="G2" s="44"/>
      <c r="H2" s="44"/>
      <c r="I2" s="44"/>
      <c r="J2" s="44"/>
      <c r="K2" s="44"/>
      <c r="L2" s="44"/>
      <c r="M2" s="44"/>
      <c r="N2" s="44"/>
      <c r="O2" s="44"/>
      <c r="P2" s="44"/>
      <c r="Q2" s="45"/>
    </row>
    <row r="3" spans="1:17" s="3" customFormat="1" ht="30.75" customHeight="1" x14ac:dyDescent="0.25">
      <c r="A3" s="21" t="s">
        <v>17</v>
      </c>
      <c r="B3" s="22"/>
      <c r="C3" s="22"/>
      <c r="D3" s="22"/>
      <c r="E3" s="22"/>
      <c r="F3" s="22"/>
      <c r="G3" s="22"/>
      <c r="H3" s="22"/>
      <c r="I3" s="22"/>
      <c r="J3" s="22"/>
      <c r="K3" s="22"/>
      <c r="L3" s="22"/>
      <c r="M3" s="22"/>
      <c r="N3" s="22"/>
      <c r="O3" s="22"/>
      <c r="P3" s="22"/>
      <c r="Q3" s="23"/>
    </row>
    <row r="4" spans="1:17" s="3" customFormat="1" ht="30.75" customHeight="1" x14ac:dyDescent="0.25">
      <c r="A4" s="24" t="s">
        <v>18</v>
      </c>
      <c r="B4" s="25"/>
      <c r="C4" s="25"/>
      <c r="D4" s="25"/>
      <c r="E4" s="25"/>
      <c r="F4" s="25"/>
      <c r="G4" s="25"/>
      <c r="H4" s="25"/>
      <c r="I4" s="25"/>
      <c r="J4" s="25"/>
      <c r="K4" s="25"/>
      <c r="L4" s="25"/>
      <c r="M4" s="25"/>
      <c r="N4" s="25"/>
      <c r="O4" s="25"/>
      <c r="P4" s="25"/>
      <c r="Q4" s="26"/>
    </row>
    <row r="5" spans="1:17" s="3" customFormat="1" ht="30.75" customHeight="1" x14ac:dyDescent="0.25">
      <c r="A5" s="4" t="s">
        <v>6</v>
      </c>
      <c r="B5" s="5" t="s">
        <v>12</v>
      </c>
      <c r="C5" s="5"/>
      <c r="D5" s="5"/>
      <c r="E5" s="5"/>
      <c r="F5" s="5"/>
      <c r="G5" s="5"/>
      <c r="H5" s="5"/>
      <c r="I5" s="5"/>
      <c r="J5" s="5"/>
      <c r="K5" s="5"/>
      <c r="L5" s="5"/>
      <c r="M5" s="5"/>
      <c r="N5" s="6" t="s">
        <v>7</v>
      </c>
      <c r="O5" s="5"/>
      <c r="P5" s="5"/>
      <c r="Q5" s="7"/>
    </row>
    <row r="6" spans="1:17" s="3" customFormat="1" ht="30.75" customHeight="1" x14ac:dyDescent="0.25">
      <c r="A6" s="4" t="s">
        <v>8</v>
      </c>
      <c r="B6" s="5" t="s">
        <v>25</v>
      </c>
      <c r="C6" s="5"/>
      <c r="D6" s="5"/>
      <c r="E6" s="5"/>
      <c r="F6" s="5"/>
      <c r="G6" s="5"/>
      <c r="H6" s="5"/>
      <c r="I6" s="5"/>
      <c r="J6" s="5"/>
      <c r="K6" s="5"/>
      <c r="L6" s="5"/>
      <c r="M6" s="5"/>
      <c r="N6" s="5"/>
      <c r="O6" s="5"/>
      <c r="P6" s="5"/>
      <c r="Q6" s="27" t="s">
        <v>7</v>
      </c>
    </row>
    <row r="7" spans="1:17" s="3" customFormat="1" ht="30.75" customHeight="1" x14ac:dyDescent="0.25">
      <c r="A7" s="4" t="s">
        <v>9</v>
      </c>
      <c r="B7" s="5" t="s">
        <v>19</v>
      </c>
      <c r="C7" s="5"/>
      <c r="D7" s="5"/>
      <c r="E7" s="5"/>
      <c r="F7" s="5"/>
      <c r="G7" s="5"/>
      <c r="H7" s="5"/>
      <c r="I7" s="5"/>
      <c r="J7" s="5"/>
      <c r="K7" s="5"/>
      <c r="L7" s="5"/>
      <c r="M7" s="5"/>
      <c r="N7" s="6"/>
      <c r="O7" s="5"/>
      <c r="P7" s="8" t="s">
        <v>16</v>
      </c>
      <c r="Q7" s="7"/>
    </row>
    <row r="8" spans="1:17" s="3" customFormat="1" ht="30.75" customHeight="1" x14ac:dyDescent="0.25">
      <c r="A8" s="9" t="s">
        <v>20</v>
      </c>
      <c r="B8" s="10" t="s">
        <v>10</v>
      </c>
      <c r="C8" s="10"/>
      <c r="D8" s="10"/>
      <c r="E8" s="10"/>
      <c r="F8" s="11" t="s">
        <v>11</v>
      </c>
      <c r="G8" s="10"/>
      <c r="H8" s="10"/>
      <c r="I8" s="10"/>
      <c r="J8" s="10"/>
      <c r="K8" s="10"/>
      <c r="L8" s="10"/>
      <c r="M8" s="10"/>
      <c r="N8" s="10"/>
      <c r="O8" s="10"/>
      <c r="P8" s="10"/>
      <c r="Q8" s="12"/>
    </row>
    <row r="9" spans="1:17" s="3" customFormat="1" ht="30.75" customHeight="1" x14ac:dyDescent="0.25">
      <c r="A9" s="13"/>
      <c r="B9" s="14" t="s">
        <v>21</v>
      </c>
      <c r="C9" s="15"/>
      <c r="D9" s="15"/>
      <c r="E9" s="15"/>
      <c r="F9" s="15"/>
      <c r="G9" s="15"/>
      <c r="H9" s="15"/>
      <c r="I9" s="15"/>
      <c r="J9" s="15"/>
      <c r="K9" s="15"/>
      <c r="L9" s="15"/>
      <c r="M9" s="15"/>
      <c r="N9" s="15"/>
      <c r="O9" s="15"/>
      <c r="P9" s="15"/>
      <c r="Q9" s="16"/>
    </row>
    <row r="10" spans="1:17" s="3" customFormat="1" ht="30.75" customHeight="1" x14ac:dyDescent="0.25">
      <c r="A10" s="13"/>
      <c r="B10" s="14" t="s">
        <v>22</v>
      </c>
      <c r="C10" s="15"/>
      <c r="D10" s="15"/>
      <c r="E10" s="15"/>
      <c r="F10" s="15"/>
      <c r="G10" s="15"/>
      <c r="H10" s="15"/>
      <c r="I10" s="15"/>
      <c r="J10" s="15"/>
      <c r="K10" s="15"/>
      <c r="L10" s="15"/>
      <c r="M10" s="15"/>
      <c r="N10" s="15"/>
      <c r="O10" s="15"/>
      <c r="P10" s="15"/>
      <c r="Q10" s="16"/>
    </row>
    <row r="11" spans="1:17" s="3" customFormat="1" ht="30.75" customHeight="1" x14ac:dyDescent="0.25">
      <c r="A11" s="13"/>
      <c r="B11" s="52" t="s">
        <v>23</v>
      </c>
      <c r="C11" s="52"/>
      <c r="D11" s="52"/>
      <c r="E11" s="52"/>
      <c r="F11" s="52"/>
      <c r="G11" s="52"/>
      <c r="H11" s="52"/>
      <c r="I11" s="52"/>
      <c r="J11" s="52"/>
      <c r="K11" s="52"/>
      <c r="L11" s="52"/>
      <c r="M11" s="52"/>
      <c r="N11" s="52"/>
      <c r="O11" s="52"/>
      <c r="P11" s="52"/>
      <c r="Q11" s="53"/>
    </row>
    <row r="12" spans="1:17" s="3" customFormat="1" ht="30.75" customHeight="1" x14ac:dyDescent="0.25">
      <c r="A12" s="17"/>
      <c r="B12" s="18" t="s">
        <v>24</v>
      </c>
      <c r="C12" s="19"/>
      <c r="D12" s="19"/>
      <c r="E12" s="19"/>
      <c r="F12" s="19"/>
      <c r="G12" s="19"/>
      <c r="H12" s="19"/>
      <c r="I12" s="19"/>
      <c r="J12" s="19"/>
      <c r="K12" s="19"/>
      <c r="L12" s="19"/>
      <c r="M12" s="19"/>
      <c r="N12" s="19"/>
      <c r="O12" s="19"/>
      <c r="P12" s="19"/>
      <c r="Q12" s="20"/>
    </row>
  </sheetData>
  <mergeCells count="1">
    <mergeCell ref="B11:Q11"/>
  </mergeCells>
  <hyperlinks>
    <hyperlink ref="N5" location="Workspace!A1" display="Workspace!A1"/>
    <hyperlink ref="Q6" location="Workspace!A1" display="Workspace!A1"/>
    <hyperlink ref="F8" location="'Replace Layers'!A1" display="'Replace Layers'!A1"/>
    <hyperlink ref="P7" location="'Replace Text'!A1" display="'Replace Text'!A1"/>
  </hyperlink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25"/>
  <sheetViews>
    <sheetView workbookViewId="0">
      <selection activeCell="D25" sqref="D25"/>
    </sheetView>
  </sheetViews>
  <sheetFormatPr defaultRowHeight="14.4" x14ac:dyDescent="0.3"/>
  <cols>
    <col min="1" max="1" width="9.88671875" bestFit="1" customWidth="1"/>
    <col min="2" max="2" width="122.88671875" bestFit="1" customWidth="1"/>
    <col min="3" max="3" width="37.44140625" customWidth="1"/>
    <col min="4" max="4" width="14.33203125" bestFit="1" customWidth="1"/>
  </cols>
  <sheetData>
    <row r="1" spans="1:4" ht="15.75" customHeight="1" x14ac:dyDescent="0.3">
      <c r="A1" s="29"/>
      <c r="B1" s="54" t="s">
        <v>28</v>
      </c>
    </row>
    <row r="2" spans="1:4" x14ac:dyDescent="0.3">
      <c r="A2" s="30"/>
      <c r="B2" s="55"/>
    </row>
    <row r="3" spans="1:4" ht="15" x14ac:dyDescent="0.25">
      <c r="A3" s="30"/>
      <c r="B3" s="31"/>
    </row>
    <row r="4" spans="1:4" ht="15" x14ac:dyDescent="0.25">
      <c r="A4" s="32" t="s">
        <v>29</v>
      </c>
      <c r="B4" s="39" t="s">
        <v>145</v>
      </c>
    </row>
    <row r="6" spans="1:4" x14ac:dyDescent="0.3">
      <c r="A6" s="33" t="s">
        <v>3</v>
      </c>
      <c r="B6" s="34" t="s">
        <v>26</v>
      </c>
      <c r="C6" s="34" t="s">
        <v>27</v>
      </c>
      <c r="D6" s="34" t="s">
        <v>0</v>
      </c>
    </row>
    <row r="7" spans="1:4" x14ac:dyDescent="0.3">
      <c r="A7" s="2">
        <v>1</v>
      </c>
      <c r="B7" t="s">
        <v>93</v>
      </c>
      <c r="C7" t="s">
        <v>35</v>
      </c>
      <c r="D7" t="s">
        <v>1</v>
      </c>
    </row>
    <row r="8" spans="1:4" x14ac:dyDescent="0.3">
      <c r="A8" s="2">
        <v>2</v>
      </c>
      <c r="B8" t="s">
        <v>146</v>
      </c>
      <c r="C8" t="s">
        <v>147</v>
      </c>
      <c r="D8" t="s">
        <v>1</v>
      </c>
    </row>
    <row r="9" spans="1:4" x14ac:dyDescent="0.3">
      <c r="A9" s="2">
        <v>3</v>
      </c>
      <c r="B9" t="s">
        <v>148</v>
      </c>
      <c r="C9" t="s">
        <v>149</v>
      </c>
      <c r="D9" t="s">
        <v>1</v>
      </c>
    </row>
    <row r="10" spans="1:4" x14ac:dyDescent="0.3">
      <c r="A10" s="2">
        <v>4</v>
      </c>
      <c r="B10" t="s">
        <v>150</v>
      </c>
      <c r="C10" t="s">
        <v>151</v>
      </c>
      <c r="D10" t="s">
        <v>1</v>
      </c>
    </row>
    <row r="11" spans="1:4" x14ac:dyDescent="0.3">
      <c r="A11" s="2">
        <v>5</v>
      </c>
      <c r="B11" t="s">
        <v>89</v>
      </c>
      <c r="C11" t="s">
        <v>90</v>
      </c>
      <c r="D11" t="s">
        <v>1</v>
      </c>
    </row>
    <row r="12" spans="1:4" x14ac:dyDescent="0.3">
      <c r="A12" s="2">
        <v>6</v>
      </c>
      <c r="B12" t="s">
        <v>152</v>
      </c>
      <c r="C12" t="s">
        <v>153</v>
      </c>
      <c r="D12" t="s">
        <v>1</v>
      </c>
    </row>
    <row r="13" spans="1:4" x14ac:dyDescent="0.3">
      <c r="A13" s="2">
        <v>7</v>
      </c>
      <c r="B13" t="s">
        <v>154</v>
      </c>
      <c r="C13" t="s">
        <v>155</v>
      </c>
      <c r="D13" t="s">
        <v>1</v>
      </c>
    </row>
    <row r="14" spans="1:4" x14ac:dyDescent="0.3">
      <c r="A14" s="2">
        <v>8</v>
      </c>
      <c r="B14" t="s">
        <v>156</v>
      </c>
      <c r="C14" t="s">
        <v>157</v>
      </c>
      <c r="D14" t="s">
        <v>1</v>
      </c>
    </row>
    <row r="15" spans="1:4" x14ac:dyDescent="0.3">
      <c r="A15" s="2">
        <v>9</v>
      </c>
      <c r="B15" t="s">
        <v>158</v>
      </c>
      <c r="C15" t="s">
        <v>159</v>
      </c>
      <c r="D15" t="s">
        <v>1</v>
      </c>
    </row>
    <row r="16" spans="1:4" x14ac:dyDescent="0.3">
      <c r="A16" s="2">
        <v>10</v>
      </c>
      <c r="B16" t="s">
        <v>160</v>
      </c>
      <c r="C16" t="s">
        <v>161</v>
      </c>
      <c r="D16" t="s">
        <v>1</v>
      </c>
    </row>
    <row r="17" spans="1:4" x14ac:dyDescent="0.3">
      <c r="A17" s="2">
        <v>11</v>
      </c>
      <c r="B17" t="s">
        <v>162</v>
      </c>
      <c r="C17" t="s">
        <v>163</v>
      </c>
      <c r="D17" t="s">
        <v>1</v>
      </c>
    </row>
    <row r="18" spans="1:4" x14ac:dyDescent="0.3">
      <c r="A18" s="2">
        <v>12</v>
      </c>
      <c r="B18" t="s">
        <v>164</v>
      </c>
      <c r="C18" t="s">
        <v>165</v>
      </c>
      <c r="D18" t="s">
        <v>1</v>
      </c>
    </row>
    <row r="19" spans="1:4" x14ac:dyDescent="0.3">
      <c r="A19" s="2">
        <v>13</v>
      </c>
      <c r="B19" t="s">
        <v>166</v>
      </c>
      <c r="C19" t="s">
        <v>167</v>
      </c>
      <c r="D19" t="s">
        <v>1</v>
      </c>
    </row>
    <row r="20" spans="1:4" x14ac:dyDescent="0.3">
      <c r="A20" s="2">
        <v>14</v>
      </c>
      <c r="B20" t="s">
        <v>168</v>
      </c>
      <c r="C20" t="s">
        <v>169</v>
      </c>
      <c r="D20" t="s">
        <v>1</v>
      </c>
    </row>
    <row r="21" spans="1:4" x14ac:dyDescent="0.3">
      <c r="A21" s="2">
        <v>15</v>
      </c>
      <c r="B21" t="s">
        <v>170</v>
      </c>
      <c r="C21" t="s">
        <v>171</v>
      </c>
      <c r="D21" t="s">
        <v>1</v>
      </c>
    </row>
    <row r="22" spans="1:4" x14ac:dyDescent="0.3">
      <c r="A22" s="2">
        <v>16</v>
      </c>
      <c r="B22" t="s">
        <v>172</v>
      </c>
      <c r="C22" t="s">
        <v>173</v>
      </c>
      <c r="D22" t="s">
        <v>1</v>
      </c>
    </row>
    <row r="23" spans="1:4" x14ac:dyDescent="0.3">
      <c r="A23" s="2">
        <v>17</v>
      </c>
      <c r="B23" t="s">
        <v>91</v>
      </c>
      <c r="C23" t="s">
        <v>92</v>
      </c>
      <c r="D23" t="s">
        <v>1</v>
      </c>
    </row>
    <row r="24" spans="1:4" x14ac:dyDescent="0.3">
      <c r="A24" s="2">
        <v>18</v>
      </c>
      <c r="B24" t="s">
        <v>174</v>
      </c>
      <c r="C24" t="s">
        <v>94</v>
      </c>
      <c r="D24" t="s">
        <v>2</v>
      </c>
    </row>
    <row r="25" spans="1:4" x14ac:dyDescent="0.3">
      <c r="A25" s="2">
        <v>19</v>
      </c>
      <c r="B25" t="s">
        <v>175</v>
      </c>
      <c r="C25" t="s">
        <v>176</v>
      </c>
      <c r="D25" t="s">
        <v>2</v>
      </c>
    </row>
  </sheetData>
  <mergeCells count="1">
    <mergeCell ref="B1:B2"/>
  </mergeCells>
  <conditionalFormatting sqref="D7">
    <cfRule type="containsText" dxfId="18" priority="19" stopIfTrue="1" operator="containsText" text="Yes">
      <formula>NOT(ISERROR(SEARCH("Yes",D7)))</formula>
    </cfRule>
  </conditionalFormatting>
  <conditionalFormatting sqref="D8">
    <cfRule type="containsText" dxfId="17" priority="18" stopIfTrue="1" operator="containsText" text="Yes">
      <formula>NOT(ISERROR(SEARCH("Yes",D8)))</formula>
    </cfRule>
  </conditionalFormatting>
  <conditionalFormatting sqref="D9">
    <cfRule type="containsText" dxfId="16" priority="17" stopIfTrue="1" operator="containsText" text="Yes">
      <formula>NOT(ISERROR(SEARCH("Yes",D9)))</formula>
    </cfRule>
  </conditionalFormatting>
  <conditionalFormatting sqref="D10">
    <cfRule type="containsText" dxfId="15" priority="16" stopIfTrue="1" operator="containsText" text="Yes">
      <formula>NOT(ISERROR(SEARCH("Yes",D10)))</formula>
    </cfRule>
  </conditionalFormatting>
  <conditionalFormatting sqref="D11">
    <cfRule type="containsText" dxfId="14" priority="15" stopIfTrue="1" operator="containsText" text="Yes">
      <formula>NOT(ISERROR(SEARCH("Yes",D11)))</formula>
    </cfRule>
  </conditionalFormatting>
  <conditionalFormatting sqref="D12">
    <cfRule type="containsText" dxfId="13" priority="14" stopIfTrue="1" operator="containsText" text="Yes">
      <formula>NOT(ISERROR(SEARCH("Yes",D12)))</formula>
    </cfRule>
  </conditionalFormatting>
  <conditionalFormatting sqref="D13">
    <cfRule type="containsText" dxfId="12" priority="13" stopIfTrue="1" operator="containsText" text="Yes">
      <formula>NOT(ISERROR(SEARCH("Yes",D13)))</formula>
    </cfRule>
  </conditionalFormatting>
  <conditionalFormatting sqref="D14">
    <cfRule type="containsText" dxfId="11" priority="12" stopIfTrue="1" operator="containsText" text="Yes">
      <formula>NOT(ISERROR(SEARCH("Yes",D14)))</formula>
    </cfRule>
  </conditionalFormatting>
  <conditionalFormatting sqref="D15">
    <cfRule type="containsText" dxfId="10" priority="11" stopIfTrue="1" operator="containsText" text="Yes">
      <formula>NOT(ISERROR(SEARCH("Yes",D15)))</formula>
    </cfRule>
  </conditionalFormatting>
  <conditionalFormatting sqref="D16">
    <cfRule type="containsText" dxfId="9" priority="10" stopIfTrue="1" operator="containsText" text="Yes">
      <formula>NOT(ISERROR(SEARCH("Yes",D16)))</formula>
    </cfRule>
  </conditionalFormatting>
  <conditionalFormatting sqref="D17">
    <cfRule type="containsText" dxfId="8" priority="9" stopIfTrue="1" operator="containsText" text="Yes">
      <formula>NOT(ISERROR(SEARCH("Yes",D17)))</formula>
    </cfRule>
  </conditionalFormatting>
  <conditionalFormatting sqref="D18">
    <cfRule type="containsText" dxfId="7" priority="8" stopIfTrue="1" operator="containsText" text="Yes">
      <formula>NOT(ISERROR(SEARCH("Yes",D18)))</formula>
    </cfRule>
  </conditionalFormatting>
  <conditionalFormatting sqref="D19">
    <cfRule type="containsText" dxfId="6" priority="7" stopIfTrue="1" operator="containsText" text="Yes">
      <formula>NOT(ISERROR(SEARCH("Yes",D19)))</formula>
    </cfRule>
  </conditionalFormatting>
  <conditionalFormatting sqref="D20">
    <cfRule type="containsText" dxfId="5" priority="6" stopIfTrue="1" operator="containsText" text="Yes">
      <formula>NOT(ISERROR(SEARCH("Yes",D20)))</formula>
    </cfRule>
  </conditionalFormatting>
  <conditionalFormatting sqref="D21">
    <cfRule type="containsText" dxfId="4" priority="5" stopIfTrue="1" operator="containsText" text="Yes">
      <formula>NOT(ISERROR(SEARCH("Yes",D21)))</formula>
    </cfRule>
  </conditionalFormatting>
  <conditionalFormatting sqref="D22">
    <cfRule type="containsText" dxfId="3" priority="4" stopIfTrue="1" operator="containsText" text="Yes">
      <formula>NOT(ISERROR(SEARCH("Yes",D22)))</formula>
    </cfRule>
  </conditionalFormatting>
  <conditionalFormatting sqref="D23">
    <cfRule type="containsText" dxfId="2" priority="3" stopIfTrue="1" operator="containsText" text="Yes">
      <formula>NOT(ISERROR(SEARCH("Yes",D23)))</formula>
    </cfRule>
  </conditionalFormatting>
  <conditionalFormatting sqref="D24">
    <cfRule type="containsText" dxfId="1" priority="2" stopIfTrue="1" operator="containsText" text="Yes">
      <formula>NOT(ISERROR(SEARCH("Yes",D24)))</formula>
    </cfRule>
  </conditionalFormatting>
  <conditionalFormatting sqref="D25">
    <cfRule type="containsText" dxfId="0" priority="1" stopIfTrue="1" operator="containsText" text="Yes">
      <formula>NOT(ISERROR(SEARCH("Yes",D25)))</formula>
    </cfRule>
  </conditionalFormatting>
  <dataValidations count="1">
    <dataValidation type="list" allowBlank="1" showInputMessage="1" showErrorMessage="1" sqref="D7 D8 D9 D10 D11 D12 D13 D14 D15 D16 D17 D18 D19 D20 D21 D22 D23 D24 D25">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Import_Workspace">
                <anchor>
                  <from>
                    <xdr:col>0</xdr:col>
                    <xdr:colOff>22860</xdr:colOff>
                    <xdr:row>0</xdr:row>
                    <xdr:rowOff>22860</xdr:rowOff>
                  </from>
                  <to>
                    <xdr:col>1</xdr:col>
                    <xdr:colOff>1150620</xdr:colOff>
                    <xdr:row>1</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56"/>
  <sheetViews>
    <sheetView tabSelected="1" topLeftCell="D6" workbookViewId="0">
      <selection activeCell="E56" sqref="D7:E56"/>
    </sheetView>
  </sheetViews>
  <sheetFormatPr defaultRowHeight="14.4" x14ac:dyDescent="0.3"/>
  <cols>
    <col min="1" max="1" width="35.5546875" bestFit="1" customWidth="1"/>
    <col min="2" max="2" width="100.6640625" bestFit="1" customWidth="1"/>
    <col min="3" max="3" width="29.33203125" bestFit="1" customWidth="1"/>
    <col min="4" max="4" width="105" bestFit="1" customWidth="1"/>
    <col min="5" max="5" width="30.44140625" bestFit="1" customWidth="1"/>
    <col min="6" max="6" width="33.109375" bestFit="1" customWidth="1"/>
    <col min="7" max="7" width="29.33203125" bestFit="1" customWidth="1"/>
    <col min="8" max="8" width="34.33203125" bestFit="1" customWidth="1"/>
    <col min="9" max="9" width="30.44140625" bestFit="1" customWidth="1"/>
  </cols>
  <sheetData>
    <row r="1" spans="1:5" x14ac:dyDescent="0.3">
      <c r="A1" s="35"/>
      <c r="B1" s="56" t="s">
        <v>30</v>
      </c>
      <c r="C1" s="57"/>
    </row>
    <row r="2" spans="1:5" x14ac:dyDescent="0.3">
      <c r="A2" s="30"/>
      <c r="B2" s="58"/>
      <c r="C2" s="59"/>
    </row>
    <row r="3" spans="1:5" ht="15" x14ac:dyDescent="0.25">
      <c r="A3" s="30"/>
      <c r="B3" s="28" t="s">
        <v>31</v>
      </c>
      <c r="C3" s="31"/>
    </row>
    <row r="4" spans="1:5" s="1" customFormat="1" ht="15" x14ac:dyDescent="0.25">
      <c r="A4" s="36" t="s">
        <v>5</v>
      </c>
      <c r="B4" s="39" t="s">
        <v>408</v>
      </c>
      <c r="C4" s="37"/>
      <c r="D4" s="38"/>
    </row>
    <row r="6" spans="1:5" x14ac:dyDescent="0.3">
      <c r="A6" s="46" t="s">
        <v>4</v>
      </c>
      <c r="B6" s="46" t="s">
        <v>177</v>
      </c>
      <c r="C6" s="46" t="s">
        <v>178</v>
      </c>
      <c r="D6" s="46" t="s">
        <v>179</v>
      </c>
      <c r="E6" s="46" t="s">
        <v>180</v>
      </c>
    </row>
    <row r="7" spans="1:5" x14ac:dyDescent="0.3">
      <c r="A7" t="s">
        <v>358</v>
      </c>
      <c r="B7" t="s">
        <v>181</v>
      </c>
      <c r="C7" t="s">
        <v>182</v>
      </c>
      <c r="D7" t="s">
        <v>409</v>
      </c>
      <c r="E7" t="s">
        <v>410</v>
      </c>
    </row>
    <row r="8" spans="1:5" ht="15" x14ac:dyDescent="0.25">
      <c r="A8" t="s">
        <v>359</v>
      </c>
      <c r="B8" t="s">
        <v>181</v>
      </c>
      <c r="C8" t="s">
        <v>182</v>
      </c>
      <c r="D8" t="s">
        <v>411</v>
      </c>
      <c r="E8" t="s">
        <v>412</v>
      </c>
    </row>
    <row r="9" spans="1:5" ht="15" x14ac:dyDescent="0.25">
      <c r="A9" t="s">
        <v>360</v>
      </c>
      <c r="B9" t="s">
        <v>181</v>
      </c>
      <c r="C9" t="s">
        <v>182</v>
      </c>
      <c r="D9" t="s">
        <v>413</v>
      </c>
      <c r="E9" t="s">
        <v>414</v>
      </c>
    </row>
    <row r="10" spans="1:5" ht="15" x14ac:dyDescent="0.25">
      <c r="A10" t="s">
        <v>361</v>
      </c>
      <c r="B10" t="s">
        <v>181</v>
      </c>
      <c r="C10" t="s">
        <v>182</v>
      </c>
      <c r="D10" t="s">
        <v>415</v>
      </c>
      <c r="E10" t="s">
        <v>416</v>
      </c>
    </row>
    <row r="11" spans="1:5" ht="15" x14ac:dyDescent="0.25">
      <c r="A11" t="s">
        <v>362</v>
      </c>
      <c r="B11" t="s">
        <v>181</v>
      </c>
      <c r="C11" t="s">
        <v>182</v>
      </c>
      <c r="D11" t="s">
        <v>417</v>
      </c>
      <c r="E11" t="s">
        <v>418</v>
      </c>
    </row>
    <row r="12" spans="1:5" ht="15" x14ac:dyDescent="0.25">
      <c r="A12" t="s">
        <v>363</v>
      </c>
      <c r="B12" t="s">
        <v>183</v>
      </c>
      <c r="C12" t="s">
        <v>184</v>
      </c>
      <c r="D12" t="s">
        <v>419</v>
      </c>
      <c r="E12" t="s">
        <v>420</v>
      </c>
    </row>
    <row r="13" spans="1:5" ht="15" x14ac:dyDescent="0.25">
      <c r="A13" t="s">
        <v>364</v>
      </c>
      <c r="B13" t="s">
        <v>183</v>
      </c>
      <c r="C13" t="s">
        <v>184</v>
      </c>
      <c r="D13" t="s">
        <v>421</v>
      </c>
      <c r="E13" t="s">
        <v>422</v>
      </c>
    </row>
    <row r="14" spans="1:5" ht="15" x14ac:dyDescent="0.25">
      <c r="A14" t="s">
        <v>365</v>
      </c>
      <c r="B14" t="s">
        <v>183</v>
      </c>
      <c r="C14" t="s">
        <v>184</v>
      </c>
      <c r="D14" t="s">
        <v>423</v>
      </c>
      <c r="E14" t="s">
        <v>424</v>
      </c>
    </row>
    <row r="15" spans="1:5" ht="15" x14ac:dyDescent="0.25">
      <c r="A15" t="s">
        <v>366</v>
      </c>
      <c r="B15" t="s">
        <v>183</v>
      </c>
      <c r="C15" t="s">
        <v>184</v>
      </c>
      <c r="D15" t="s">
        <v>425</v>
      </c>
      <c r="E15" t="s">
        <v>426</v>
      </c>
    </row>
    <row r="16" spans="1:5" ht="15" x14ac:dyDescent="0.25">
      <c r="A16" t="s">
        <v>367</v>
      </c>
      <c r="B16" t="s">
        <v>183</v>
      </c>
      <c r="C16" t="s">
        <v>184</v>
      </c>
      <c r="D16" t="s">
        <v>427</v>
      </c>
      <c r="E16" t="s">
        <v>428</v>
      </c>
    </row>
    <row r="17" spans="1:5" ht="15" x14ac:dyDescent="0.25">
      <c r="A17" t="s">
        <v>368</v>
      </c>
      <c r="B17" t="s">
        <v>185</v>
      </c>
      <c r="C17" t="s">
        <v>186</v>
      </c>
      <c r="D17" t="s">
        <v>429</v>
      </c>
      <c r="E17" t="s">
        <v>430</v>
      </c>
    </row>
    <row r="18" spans="1:5" ht="15" x14ac:dyDescent="0.25">
      <c r="A18" t="s">
        <v>369</v>
      </c>
      <c r="B18" t="s">
        <v>185</v>
      </c>
      <c r="C18" t="s">
        <v>186</v>
      </c>
      <c r="D18" t="s">
        <v>431</v>
      </c>
      <c r="E18" t="s">
        <v>432</v>
      </c>
    </row>
    <row r="19" spans="1:5" ht="15" x14ac:dyDescent="0.25">
      <c r="A19" t="s">
        <v>370</v>
      </c>
      <c r="B19" t="s">
        <v>185</v>
      </c>
      <c r="C19" t="s">
        <v>186</v>
      </c>
      <c r="D19" t="s">
        <v>433</v>
      </c>
      <c r="E19" t="s">
        <v>434</v>
      </c>
    </row>
    <row r="20" spans="1:5" ht="15" x14ac:dyDescent="0.25">
      <c r="A20" t="s">
        <v>371</v>
      </c>
      <c r="B20" t="s">
        <v>185</v>
      </c>
      <c r="C20" t="s">
        <v>186</v>
      </c>
      <c r="D20" t="s">
        <v>435</v>
      </c>
      <c r="E20" t="s">
        <v>436</v>
      </c>
    </row>
    <row r="21" spans="1:5" ht="15" x14ac:dyDescent="0.25">
      <c r="A21" t="s">
        <v>372</v>
      </c>
      <c r="B21" t="s">
        <v>185</v>
      </c>
      <c r="C21" t="s">
        <v>186</v>
      </c>
      <c r="D21" t="s">
        <v>437</v>
      </c>
      <c r="E21" t="s">
        <v>438</v>
      </c>
    </row>
    <row r="22" spans="1:5" ht="15" x14ac:dyDescent="0.25">
      <c r="A22" t="s">
        <v>373</v>
      </c>
      <c r="B22" t="s">
        <v>187</v>
      </c>
      <c r="C22" t="s">
        <v>188</v>
      </c>
      <c r="D22" t="s">
        <v>439</v>
      </c>
      <c r="E22" t="s">
        <v>440</v>
      </c>
    </row>
    <row r="23" spans="1:5" ht="15" x14ac:dyDescent="0.25">
      <c r="A23" t="s">
        <v>374</v>
      </c>
      <c r="B23" t="s">
        <v>187</v>
      </c>
      <c r="C23" t="s">
        <v>188</v>
      </c>
      <c r="D23" t="s">
        <v>441</v>
      </c>
      <c r="E23" t="s">
        <v>442</v>
      </c>
    </row>
    <row r="24" spans="1:5" ht="15" x14ac:dyDescent="0.25">
      <c r="A24" t="s">
        <v>375</v>
      </c>
      <c r="B24" t="s">
        <v>187</v>
      </c>
      <c r="C24" t="s">
        <v>188</v>
      </c>
      <c r="D24" t="s">
        <v>443</v>
      </c>
      <c r="E24" t="s">
        <v>444</v>
      </c>
    </row>
    <row r="25" spans="1:5" ht="15" x14ac:dyDescent="0.25">
      <c r="A25" t="s">
        <v>376</v>
      </c>
      <c r="B25" t="s">
        <v>187</v>
      </c>
      <c r="C25" t="s">
        <v>188</v>
      </c>
      <c r="D25" t="s">
        <v>445</v>
      </c>
      <c r="E25" t="s">
        <v>446</v>
      </c>
    </row>
    <row r="26" spans="1:5" ht="15" x14ac:dyDescent="0.25">
      <c r="A26" t="s">
        <v>377</v>
      </c>
      <c r="B26" t="s">
        <v>187</v>
      </c>
      <c r="C26" t="s">
        <v>188</v>
      </c>
      <c r="D26" t="s">
        <v>447</v>
      </c>
      <c r="E26" t="s">
        <v>448</v>
      </c>
    </row>
    <row r="27" spans="1:5" ht="15" x14ac:dyDescent="0.25">
      <c r="A27" t="s">
        <v>378</v>
      </c>
      <c r="B27" t="s">
        <v>189</v>
      </c>
      <c r="C27" t="s">
        <v>190</v>
      </c>
      <c r="D27" t="s">
        <v>449</v>
      </c>
      <c r="E27" t="s">
        <v>450</v>
      </c>
    </row>
    <row r="28" spans="1:5" ht="15" x14ac:dyDescent="0.25">
      <c r="A28" t="s">
        <v>379</v>
      </c>
      <c r="B28" t="s">
        <v>189</v>
      </c>
      <c r="C28" t="s">
        <v>190</v>
      </c>
      <c r="D28" t="s">
        <v>451</v>
      </c>
      <c r="E28" t="s">
        <v>452</v>
      </c>
    </row>
    <row r="29" spans="1:5" ht="15" x14ac:dyDescent="0.25">
      <c r="A29" t="s">
        <v>380</v>
      </c>
      <c r="B29" t="s">
        <v>189</v>
      </c>
      <c r="C29" t="s">
        <v>190</v>
      </c>
      <c r="D29" t="s">
        <v>453</v>
      </c>
      <c r="E29" t="s">
        <v>454</v>
      </c>
    </row>
    <row r="30" spans="1:5" ht="15" x14ac:dyDescent="0.25">
      <c r="A30" t="s">
        <v>381</v>
      </c>
      <c r="B30" t="s">
        <v>189</v>
      </c>
      <c r="C30" t="s">
        <v>190</v>
      </c>
      <c r="D30" t="s">
        <v>455</v>
      </c>
      <c r="E30" t="s">
        <v>456</v>
      </c>
    </row>
    <row r="31" spans="1:5" ht="15" x14ac:dyDescent="0.25">
      <c r="A31" t="s">
        <v>382</v>
      </c>
      <c r="B31" t="s">
        <v>189</v>
      </c>
      <c r="C31" t="s">
        <v>190</v>
      </c>
      <c r="D31" t="s">
        <v>457</v>
      </c>
      <c r="E31" t="s">
        <v>458</v>
      </c>
    </row>
    <row r="32" spans="1:5" x14ac:dyDescent="0.3">
      <c r="A32" s="50" t="s">
        <v>383</v>
      </c>
      <c r="B32" s="50" t="s">
        <v>181</v>
      </c>
      <c r="C32" s="50" t="s">
        <v>182</v>
      </c>
      <c r="D32" s="50" t="s">
        <v>459</v>
      </c>
      <c r="E32" s="50" t="s">
        <v>460</v>
      </c>
    </row>
    <row r="33" spans="1:5" x14ac:dyDescent="0.3">
      <c r="A33" s="50" t="s">
        <v>384</v>
      </c>
      <c r="B33" s="50" t="s">
        <v>181</v>
      </c>
      <c r="C33" s="50" t="s">
        <v>182</v>
      </c>
      <c r="D33" s="50" t="s">
        <v>461</v>
      </c>
      <c r="E33" s="50" t="s">
        <v>462</v>
      </c>
    </row>
    <row r="34" spans="1:5" x14ac:dyDescent="0.3">
      <c r="A34" s="50" t="s">
        <v>385</v>
      </c>
      <c r="B34" s="50" t="s">
        <v>181</v>
      </c>
      <c r="C34" s="50" t="s">
        <v>182</v>
      </c>
      <c r="D34" s="50" t="s">
        <v>463</v>
      </c>
      <c r="E34" s="50" t="s">
        <v>464</v>
      </c>
    </row>
    <row r="35" spans="1:5" x14ac:dyDescent="0.3">
      <c r="A35" s="50" t="s">
        <v>386</v>
      </c>
      <c r="B35" s="50" t="s">
        <v>181</v>
      </c>
      <c r="C35" s="50" t="s">
        <v>182</v>
      </c>
      <c r="D35" s="50" t="s">
        <v>465</v>
      </c>
      <c r="E35" s="50" t="s">
        <v>466</v>
      </c>
    </row>
    <row r="36" spans="1:5" x14ac:dyDescent="0.3">
      <c r="A36" s="50" t="s">
        <v>387</v>
      </c>
      <c r="B36" s="50" t="s">
        <v>181</v>
      </c>
      <c r="C36" s="50" t="s">
        <v>182</v>
      </c>
      <c r="D36" s="50" t="s">
        <v>467</v>
      </c>
      <c r="E36" s="50" t="s">
        <v>468</v>
      </c>
    </row>
    <row r="37" spans="1:5" x14ac:dyDescent="0.3">
      <c r="A37" s="50" t="s">
        <v>388</v>
      </c>
      <c r="B37" s="50" t="s">
        <v>183</v>
      </c>
      <c r="C37" s="50" t="s">
        <v>184</v>
      </c>
      <c r="D37" s="50" t="s">
        <v>469</v>
      </c>
      <c r="E37" s="50" t="s">
        <v>470</v>
      </c>
    </row>
    <row r="38" spans="1:5" x14ac:dyDescent="0.3">
      <c r="A38" s="50" t="s">
        <v>389</v>
      </c>
      <c r="B38" s="50" t="s">
        <v>183</v>
      </c>
      <c r="C38" s="50" t="s">
        <v>184</v>
      </c>
      <c r="D38" s="50" t="s">
        <v>471</v>
      </c>
      <c r="E38" s="50" t="s">
        <v>472</v>
      </c>
    </row>
    <row r="39" spans="1:5" x14ac:dyDescent="0.3">
      <c r="A39" s="50" t="s">
        <v>390</v>
      </c>
      <c r="B39" s="50" t="s">
        <v>183</v>
      </c>
      <c r="C39" s="50" t="s">
        <v>184</v>
      </c>
      <c r="D39" s="50" t="s">
        <v>473</v>
      </c>
      <c r="E39" s="50" t="s">
        <v>474</v>
      </c>
    </row>
    <row r="40" spans="1:5" x14ac:dyDescent="0.3">
      <c r="A40" s="50" t="s">
        <v>391</v>
      </c>
      <c r="B40" s="50" t="s">
        <v>183</v>
      </c>
      <c r="C40" s="50" t="s">
        <v>184</v>
      </c>
      <c r="D40" s="50" t="s">
        <v>475</v>
      </c>
      <c r="E40" s="50" t="s">
        <v>476</v>
      </c>
    </row>
    <row r="41" spans="1:5" x14ac:dyDescent="0.3">
      <c r="A41" s="50" t="s">
        <v>392</v>
      </c>
      <c r="B41" s="50" t="s">
        <v>183</v>
      </c>
      <c r="C41" s="50" t="s">
        <v>184</v>
      </c>
      <c r="D41" s="50" t="s">
        <v>477</v>
      </c>
      <c r="E41" s="50" t="s">
        <v>478</v>
      </c>
    </row>
    <row r="42" spans="1:5" x14ac:dyDescent="0.3">
      <c r="A42" s="50" t="s">
        <v>393</v>
      </c>
      <c r="B42" s="50" t="s">
        <v>185</v>
      </c>
      <c r="C42" s="50" t="s">
        <v>186</v>
      </c>
      <c r="D42" s="50" t="s">
        <v>479</v>
      </c>
      <c r="E42" s="50" t="s">
        <v>480</v>
      </c>
    </row>
    <row r="43" spans="1:5" x14ac:dyDescent="0.3">
      <c r="A43" s="50" t="s">
        <v>394</v>
      </c>
      <c r="B43" s="50" t="s">
        <v>185</v>
      </c>
      <c r="C43" s="50" t="s">
        <v>186</v>
      </c>
      <c r="D43" s="50" t="s">
        <v>481</v>
      </c>
      <c r="E43" s="50" t="s">
        <v>482</v>
      </c>
    </row>
    <row r="44" spans="1:5" x14ac:dyDescent="0.3">
      <c r="A44" s="50" t="s">
        <v>395</v>
      </c>
      <c r="B44" s="50" t="s">
        <v>185</v>
      </c>
      <c r="C44" s="50" t="s">
        <v>186</v>
      </c>
      <c r="D44" s="50" t="s">
        <v>483</v>
      </c>
      <c r="E44" s="50" t="s">
        <v>484</v>
      </c>
    </row>
    <row r="45" spans="1:5" x14ac:dyDescent="0.3">
      <c r="A45" s="50" t="s">
        <v>396</v>
      </c>
      <c r="B45" s="50" t="s">
        <v>185</v>
      </c>
      <c r="C45" s="50" t="s">
        <v>186</v>
      </c>
      <c r="D45" s="50" t="s">
        <v>485</v>
      </c>
      <c r="E45" s="50" t="s">
        <v>486</v>
      </c>
    </row>
    <row r="46" spans="1:5" x14ac:dyDescent="0.3">
      <c r="A46" s="50" t="s">
        <v>397</v>
      </c>
      <c r="B46" s="50" t="s">
        <v>185</v>
      </c>
      <c r="C46" s="50" t="s">
        <v>186</v>
      </c>
      <c r="D46" s="50" t="s">
        <v>487</v>
      </c>
      <c r="E46" s="50" t="s">
        <v>488</v>
      </c>
    </row>
    <row r="47" spans="1:5" x14ac:dyDescent="0.3">
      <c r="A47" s="50" t="s">
        <v>398</v>
      </c>
      <c r="B47" s="50" t="s">
        <v>187</v>
      </c>
      <c r="C47" s="50" t="s">
        <v>188</v>
      </c>
      <c r="D47" s="50" t="s">
        <v>489</v>
      </c>
      <c r="E47" s="50" t="s">
        <v>490</v>
      </c>
    </row>
    <row r="48" spans="1:5" x14ac:dyDescent="0.3">
      <c r="A48" s="50" t="s">
        <v>399</v>
      </c>
      <c r="B48" s="50" t="s">
        <v>187</v>
      </c>
      <c r="C48" s="50" t="s">
        <v>188</v>
      </c>
      <c r="D48" s="50" t="s">
        <v>491</v>
      </c>
      <c r="E48" s="50" t="s">
        <v>492</v>
      </c>
    </row>
    <row r="49" spans="1:5" x14ac:dyDescent="0.3">
      <c r="A49" s="50" t="s">
        <v>400</v>
      </c>
      <c r="B49" s="50" t="s">
        <v>187</v>
      </c>
      <c r="C49" s="50" t="s">
        <v>188</v>
      </c>
      <c r="D49" s="50" t="s">
        <v>493</v>
      </c>
      <c r="E49" s="50" t="s">
        <v>494</v>
      </c>
    </row>
    <row r="50" spans="1:5" x14ac:dyDescent="0.3">
      <c r="A50" s="50" t="s">
        <v>401</v>
      </c>
      <c r="B50" s="50" t="s">
        <v>187</v>
      </c>
      <c r="C50" s="50" t="s">
        <v>188</v>
      </c>
      <c r="D50" s="50" t="s">
        <v>495</v>
      </c>
      <c r="E50" s="50" t="s">
        <v>496</v>
      </c>
    </row>
    <row r="51" spans="1:5" x14ac:dyDescent="0.3">
      <c r="A51" s="50" t="s">
        <v>402</v>
      </c>
      <c r="B51" s="50" t="s">
        <v>187</v>
      </c>
      <c r="C51" s="50" t="s">
        <v>188</v>
      </c>
      <c r="D51" s="50" t="s">
        <v>497</v>
      </c>
      <c r="E51" s="50" t="s">
        <v>498</v>
      </c>
    </row>
    <row r="52" spans="1:5" x14ac:dyDescent="0.3">
      <c r="A52" s="50" t="s">
        <v>403</v>
      </c>
      <c r="B52" s="50" t="s">
        <v>189</v>
      </c>
      <c r="C52" s="50" t="s">
        <v>190</v>
      </c>
      <c r="D52" s="50" t="s">
        <v>499</v>
      </c>
      <c r="E52" s="50" t="s">
        <v>500</v>
      </c>
    </row>
    <row r="53" spans="1:5" x14ac:dyDescent="0.3">
      <c r="A53" s="50" t="s">
        <v>404</v>
      </c>
      <c r="B53" s="50" t="s">
        <v>189</v>
      </c>
      <c r="C53" s="50" t="s">
        <v>190</v>
      </c>
      <c r="D53" s="50" t="s">
        <v>501</v>
      </c>
      <c r="E53" s="50" t="s">
        <v>502</v>
      </c>
    </row>
    <row r="54" spans="1:5" x14ac:dyDescent="0.3">
      <c r="A54" s="50" t="s">
        <v>405</v>
      </c>
      <c r="B54" s="50" t="s">
        <v>189</v>
      </c>
      <c r="C54" s="50" t="s">
        <v>190</v>
      </c>
      <c r="D54" s="50" t="s">
        <v>503</v>
      </c>
      <c r="E54" s="50" t="s">
        <v>504</v>
      </c>
    </row>
    <row r="55" spans="1:5" x14ac:dyDescent="0.3">
      <c r="A55" s="50" t="s">
        <v>406</v>
      </c>
      <c r="B55" s="50" t="s">
        <v>189</v>
      </c>
      <c r="C55" s="50" t="s">
        <v>190</v>
      </c>
      <c r="D55" s="50" t="s">
        <v>505</v>
      </c>
      <c r="E55" s="50" t="s">
        <v>506</v>
      </c>
    </row>
    <row r="56" spans="1:5" x14ac:dyDescent="0.3">
      <c r="A56" s="50" t="s">
        <v>407</v>
      </c>
      <c r="B56" s="50" t="s">
        <v>189</v>
      </c>
      <c r="C56" s="50" t="s">
        <v>190</v>
      </c>
      <c r="D56" s="50" t="s">
        <v>507</v>
      </c>
      <c r="E56" s="50" t="s">
        <v>508</v>
      </c>
    </row>
  </sheetData>
  <mergeCells count="1">
    <mergeCell ref="B1:C2"/>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uplicate_Workspace">
                <anchor>
                  <from>
                    <xdr:col>0</xdr:col>
                    <xdr:colOff>22860</xdr:colOff>
                    <xdr:row>0</xdr:row>
                    <xdr:rowOff>22860</xdr:rowOff>
                  </from>
                  <to>
                    <xdr:col>0</xdr:col>
                    <xdr:colOff>1859280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55"/>
  <sheetViews>
    <sheetView topLeftCell="C37" workbookViewId="0">
      <selection activeCell="C6" sqref="C6:C55"/>
    </sheetView>
  </sheetViews>
  <sheetFormatPr defaultRowHeight="14.4" x14ac:dyDescent="0.3"/>
  <cols>
    <col min="1" max="1" width="35.5546875" bestFit="1" customWidth="1"/>
    <col min="2" max="2" width="32.109375" bestFit="1" customWidth="1"/>
    <col min="3" max="3" width="35.5546875" bestFit="1" customWidth="1"/>
    <col min="4" max="4" width="44.109375" bestFit="1" customWidth="1"/>
    <col min="5" max="5" width="74.44140625" bestFit="1" customWidth="1"/>
    <col min="6" max="6" width="7.44140625" bestFit="1" customWidth="1"/>
    <col min="7" max="7" width="7.5546875" bestFit="1" customWidth="1"/>
    <col min="8" max="8" width="2.6640625" bestFit="1" customWidth="1"/>
    <col min="9" max="9" width="4.33203125" bestFit="1" customWidth="1"/>
    <col min="10" max="10" width="2.6640625" bestFit="1" customWidth="1"/>
    <col min="11" max="11" width="4.33203125" bestFit="1" customWidth="1"/>
    <col min="12" max="12" width="2.6640625" bestFit="1" customWidth="1"/>
    <col min="13" max="13" width="4.33203125" bestFit="1" customWidth="1"/>
  </cols>
  <sheetData>
    <row r="1" spans="1:13" x14ac:dyDescent="0.3">
      <c r="B1" s="60" t="s">
        <v>32</v>
      </c>
      <c r="C1" s="61"/>
      <c r="D1" s="61"/>
      <c r="E1" s="61"/>
      <c r="F1" s="62"/>
    </row>
    <row r="2" spans="1:13" x14ac:dyDescent="0.3">
      <c r="B2" s="63"/>
      <c r="C2" s="64"/>
      <c r="D2" s="64"/>
      <c r="E2" s="64"/>
      <c r="F2" s="65"/>
    </row>
    <row r="4" spans="1:13" ht="15" x14ac:dyDescent="0.25">
      <c r="B4" s="34" t="s">
        <v>13</v>
      </c>
    </row>
    <row r="5" spans="1:13" ht="15" x14ac:dyDescent="0.25">
      <c r="A5" s="46" t="s">
        <v>4</v>
      </c>
      <c r="B5" s="34" t="s">
        <v>14</v>
      </c>
      <c r="C5" s="34" t="s">
        <v>15</v>
      </c>
      <c r="D5" s="34" t="s">
        <v>14</v>
      </c>
      <c r="E5" s="34" t="s">
        <v>15</v>
      </c>
      <c r="F5" s="34" t="s">
        <v>14</v>
      </c>
      <c r="G5" s="34" t="s">
        <v>15</v>
      </c>
      <c r="H5" s="34" t="s">
        <v>14</v>
      </c>
      <c r="I5" s="34" t="s">
        <v>15</v>
      </c>
      <c r="J5" s="34" t="s">
        <v>14</v>
      </c>
      <c r="K5" s="34" t="s">
        <v>15</v>
      </c>
      <c r="L5" s="34" t="s">
        <v>14</v>
      </c>
      <c r="M5" s="34" t="s">
        <v>15</v>
      </c>
    </row>
    <row r="6" spans="1:13" ht="15" x14ac:dyDescent="0.25">
      <c r="A6" t="s">
        <v>358</v>
      </c>
      <c r="B6" s="47" t="s">
        <v>36</v>
      </c>
      <c r="C6" s="47" t="s">
        <v>358</v>
      </c>
      <c r="D6" s="48" t="s">
        <v>37</v>
      </c>
      <c r="E6" s="49" t="s">
        <v>38</v>
      </c>
      <c r="F6" s="50" t="s">
        <v>63</v>
      </c>
      <c r="G6" s="50" t="s">
        <v>64</v>
      </c>
    </row>
    <row r="7" spans="1:13" ht="15" x14ac:dyDescent="0.25">
      <c r="A7" t="s">
        <v>359</v>
      </c>
      <c r="B7" s="47" t="s">
        <v>36</v>
      </c>
      <c r="C7" s="47" t="s">
        <v>359</v>
      </c>
      <c r="D7" s="48" t="s">
        <v>37</v>
      </c>
      <c r="E7" s="49" t="s">
        <v>39</v>
      </c>
      <c r="F7" s="50" t="s">
        <v>63</v>
      </c>
      <c r="G7" s="50" t="s">
        <v>65</v>
      </c>
    </row>
    <row r="8" spans="1:13" ht="15" x14ac:dyDescent="0.25">
      <c r="A8" t="s">
        <v>360</v>
      </c>
      <c r="B8" s="47" t="s">
        <v>36</v>
      </c>
      <c r="C8" s="47" t="s">
        <v>360</v>
      </c>
      <c r="D8" s="48" t="s">
        <v>37</v>
      </c>
      <c r="E8" s="49" t="s">
        <v>40</v>
      </c>
      <c r="F8" s="50" t="s">
        <v>63</v>
      </c>
      <c r="G8" s="50" t="s">
        <v>66</v>
      </c>
    </row>
    <row r="9" spans="1:13" ht="15" x14ac:dyDescent="0.25">
      <c r="A9" t="s">
        <v>361</v>
      </c>
      <c r="B9" s="47" t="s">
        <v>36</v>
      </c>
      <c r="C9" s="47" t="s">
        <v>361</v>
      </c>
      <c r="D9" s="48" t="s">
        <v>37</v>
      </c>
      <c r="E9" s="49" t="s">
        <v>41</v>
      </c>
      <c r="F9" s="50" t="s">
        <v>63</v>
      </c>
      <c r="G9" s="50" t="s">
        <v>67</v>
      </c>
    </row>
    <row r="10" spans="1:13" ht="15" x14ac:dyDescent="0.25">
      <c r="A10" t="s">
        <v>362</v>
      </c>
      <c r="B10" s="47" t="s">
        <v>36</v>
      </c>
      <c r="C10" s="47" t="s">
        <v>362</v>
      </c>
      <c r="D10" s="48" t="s">
        <v>37</v>
      </c>
      <c r="E10" s="49" t="s">
        <v>42</v>
      </c>
      <c r="F10" s="50" t="s">
        <v>63</v>
      </c>
      <c r="G10" s="50" t="s">
        <v>68</v>
      </c>
    </row>
    <row r="11" spans="1:13" ht="15" x14ac:dyDescent="0.25">
      <c r="A11" t="s">
        <v>363</v>
      </c>
      <c r="B11" s="47" t="s">
        <v>36</v>
      </c>
      <c r="C11" s="47" t="s">
        <v>363</v>
      </c>
      <c r="D11" s="48" t="s">
        <v>37</v>
      </c>
      <c r="E11" s="49" t="s">
        <v>43</v>
      </c>
      <c r="F11" s="50" t="s">
        <v>63</v>
      </c>
      <c r="G11" s="50" t="s">
        <v>69</v>
      </c>
    </row>
    <row r="12" spans="1:13" ht="15" x14ac:dyDescent="0.25">
      <c r="A12" t="s">
        <v>364</v>
      </c>
      <c r="B12" s="47" t="s">
        <v>36</v>
      </c>
      <c r="C12" s="47" t="s">
        <v>364</v>
      </c>
      <c r="D12" s="48" t="s">
        <v>37</v>
      </c>
      <c r="E12" s="49" t="s">
        <v>44</v>
      </c>
      <c r="F12" s="50" t="s">
        <v>63</v>
      </c>
      <c r="G12" s="50" t="s">
        <v>70</v>
      </c>
    </row>
    <row r="13" spans="1:13" ht="15" x14ac:dyDescent="0.25">
      <c r="A13" t="s">
        <v>365</v>
      </c>
      <c r="B13" s="47" t="s">
        <v>36</v>
      </c>
      <c r="C13" s="47" t="s">
        <v>365</v>
      </c>
      <c r="D13" s="48" t="s">
        <v>37</v>
      </c>
      <c r="E13" s="49" t="s">
        <v>45</v>
      </c>
      <c r="F13" s="50" t="s">
        <v>63</v>
      </c>
      <c r="G13" s="50" t="s">
        <v>71</v>
      </c>
    </row>
    <row r="14" spans="1:13" ht="15" x14ac:dyDescent="0.25">
      <c r="A14" t="s">
        <v>366</v>
      </c>
      <c r="B14" s="47" t="s">
        <v>36</v>
      </c>
      <c r="C14" s="47" t="s">
        <v>366</v>
      </c>
      <c r="D14" s="48" t="s">
        <v>37</v>
      </c>
      <c r="E14" s="49" t="s">
        <v>46</v>
      </c>
      <c r="F14" s="50" t="s">
        <v>63</v>
      </c>
      <c r="G14" s="50" t="s">
        <v>72</v>
      </c>
    </row>
    <row r="15" spans="1:13" ht="15" x14ac:dyDescent="0.25">
      <c r="A15" t="s">
        <v>367</v>
      </c>
      <c r="B15" s="47" t="s">
        <v>36</v>
      </c>
      <c r="C15" s="47" t="s">
        <v>367</v>
      </c>
      <c r="D15" s="48" t="s">
        <v>37</v>
      </c>
      <c r="E15" s="49" t="s">
        <v>47</v>
      </c>
      <c r="F15" s="50" t="s">
        <v>63</v>
      </c>
      <c r="G15" s="50" t="s">
        <v>73</v>
      </c>
    </row>
    <row r="16" spans="1:13" ht="15" x14ac:dyDescent="0.25">
      <c r="A16" t="s">
        <v>368</v>
      </c>
      <c r="B16" s="47" t="s">
        <v>36</v>
      </c>
      <c r="C16" s="47" t="s">
        <v>368</v>
      </c>
      <c r="D16" s="48" t="s">
        <v>37</v>
      </c>
      <c r="E16" s="49" t="s">
        <v>48</v>
      </c>
      <c r="F16" s="50" t="s">
        <v>63</v>
      </c>
      <c r="G16" s="50" t="s">
        <v>74</v>
      </c>
    </row>
    <row r="17" spans="1:11" ht="15" x14ac:dyDescent="0.25">
      <c r="A17" t="s">
        <v>369</v>
      </c>
      <c r="B17" s="47" t="s">
        <v>36</v>
      </c>
      <c r="C17" s="47" t="s">
        <v>369</v>
      </c>
      <c r="D17" s="48" t="s">
        <v>37</v>
      </c>
      <c r="E17" s="49" t="s">
        <v>49</v>
      </c>
      <c r="F17" s="50" t="s">
        <v>63</v>
      </c>
      <c r="G17" s="50" t="s">
        <v>75</v>
      </c>
    </row>
    <row r="18" spans="1:11" ht="15" x14ac:dyDescent="0.25">
      <c r="A18" t="s">
        <v>370</v>
      </c>
      <c r="B18" s="47" t="s">
        <v>36</v>
      </c>
      <c r="C18" s="47" t="s">
        <v>370</v>
      </c>
      <c r="D18" s="48" t="s">
        <v>37</v>
      </c>
      <c r="E18" s="49" t="s">
        <v>50</v>
      </c>
      <c r="F18" s="50" t="s">
        <v>63</v>
      </c>
      <c r="G18" s="50" t="s">
        <v>76</v>
      </c>
    </row>
    <row r="19" spans="1:11" ht="15" x14ac:dyDescent="0.25">
      <c r="A19" t="s">
        <v>371</v>
      </c>
      <c r="B19" s="47" t="s">
        <v>36</v>
      </c>
      <c r="C19" s="47" t="s">
        <v>371</v>
      </c>
      <c r="D19" s="48" t="s">
        <v>37</v>
      </c>
      <c r="E19" s="49" t="s">
        <v>51</v>
      </c>
      <c r="F19" s="50" t="s">
        <v>63</v>
      </c>
      <c r="G19" s="50" t="s">
        <v>77</v>
      </c>
    </row>
    <row r="20" spans="1:11" ht="15" x14ac:dyDescent="0.25">
      <c r="A20" t="s">
        <v>372</v>
      </c>
      <c r="B20" s="47" t="s">
        <v>36</v>
      </c>
      <c r="C20" s="47" t="s">
        <v>372</v>
      </c>
      <c r="D20" s="48" t="s">
        <v>37</v>
      </c>
      <c r="E20" s="49" t="s">
        <v>52</v>
      </c>
      <c r="F20" s="50" t="s">
        <v>63</v>
      </c>
      <c r="G20" s="50" t="s">
        <v>78</v>
      </c>
    </row>
    <row r="21" spans="1:11" ht="15" x14ac:dyDescent="0.25">
      <c r="A21" t="s">
        <v>373</v>
      </c>
      <c r="B21" s="47" t="s">
        <v>36</v>
      </c>
      <c r="C21" s="47" t="s">
        <v>373</v>
      </c>
      <c r="D21" s="48" t="s">
        <v>37</v>
      </c>
      <c r="E21" s="49" t="s">
        <v>53</v>
      </c>
      <c r="F21" s="50" t="s">
        <v>63</v>
      </c>
      <c r="G21" s="50" t="s">
        <v>79</v>
      </c>
    </row>
    <row r="22" spans="1:11" ht="15" x14ac:dyDescent="0.25">
      <c r="A22" t="s">
        <v>374</v>
      </c>
      <c r="B22" s="47" t="s">
        <v>36</v>
      </c>
      <c r="C22" s="47" t="s">
        <v>374</v>
      </c>
      <c r="D22" s="48" t="s">
        <v>37</v>
      </c>
      <c r="E22" s="49" t="s">
        <v>54</v>
      </c>
      <c r="F22" s="50" t="s">
        <v>63</v>
      </c>
      <c r="G22" s="50" t="s">
        <v>80</v>
      </c>
    </row>
    <row r="23" spans="1:11" ht="15" x14ac:dyDescent="0.25">
      <c r="A23" t="s">
        <v>375</v>
      </c>
      <c r="B23" s="47" t="s">
        <v>36</v>
      </c>
      <c r="C23" s="47" t="s">
        <v>375</v>
      </c>
      <c r="D23" s="48" t="s">
        <v>37</v>
      </c>
      <c r="E23" s="49" t="s">
        <v>55</v>
      </c>
      <c r="F23" s="50" t="s">
        <v>63</v>
      </c>
      <c r="G23" s="50" t="s">
        <v>81</v>
      </c>
    </row>
    <row r="24" spans="1:11" ht="15" x14ac:dyDescent="0.25">
      <c r="A24" t="s">
        <v>376</v>
      </c>
      <c r="B24" s="47" t="s">
        <v>36</v>
      </c>
      <c r="C24" s="47" t="s">
        <v>376</v>
      </c>
      <c r="D24" s="48" t="s">
        <v>37</v>
      </c>
      <c r="E24" s="49" t="s">
        <v>56</v>
      </c>
      <c r="F24" s="50" t="s">
        <v>63</v>
      </c>
      <c r="G24" s="50" t="s">
        <v>82</v>
      </c>
    </row>
    <row r="25" spans="1:11" ht="15" x14ac:dyDescent="0.25">
      <c r="A25" t="s">
        <v>377</v>
      </c>
      <c r="B25" s="47" t="s">
        <v>36</v>
      </c>
      <c r="C25" s="47" t="s">
        <v>377</v>
      </c>
      <c r="D25" s="48" t="s">
        <v>37</v>
      </c>
      <c r="E25" s="49" t="s">
        <v>57</v>
      </c>
      <c r="F25" s="50" t="s">
        <v>63</v>
      </c>
      <c r="G25" s="50" t="s">
        <v>83</v>
      </c>
    </row>
    <row r="26" spans="1:11" ht="15" x14ac:dyDescent="0.25">
      <c r="A26" t="s">
        <v>378</v>
      </c>
      <c r="B26" s="47" t="s">
        <v>36</v>
      </c>
      <c r="C26" s="47" t="s">
        <v>378</v>
      </c>
      <c r="D26" s="48" t="s">
        <v>37</v>
      </c>
      <c r="E26" s="49" t="s">
        <v>58</v>
      </c>
      <c r="F26" s="50" t="s">
        <v>63</v>
      </c>
      <c r="G26" s="50" t="s">
        <v>84</v>
      </c>
    </row>
    <row r="27" spans="1:11" ht="15" x14ac:dyDescent="0.25">
      <c r="A27" t="s">
        <v>379</v>
      </c>
      <c r="B27" s="47" t="s">
        <v>36</v>
      </c>
      <c r="C27" s="47" t="s">
        <v>379</v>
      </c>
      <c r="D27" s="48" t="s">
        <v>37</v>
      </c>
      <c r="E27" s="49" t="s">
        <v>59</v>
      </c>
      <c r="F27" s="50" t="s">
        <v>63</v>
      </c>
      <c r="G27" s="50" t="s">
        <v>85</v>
      </c>
    </row>
    <row r="28" spans="1:11" ht="15" x14ac:dyDescent="0.25">
      <c r="A28" t="s">
        <v>380</v>
      </c>
      <c r="B28" s="47" t="s">
        <v>36</v>
      </c>
      <c r="C28" s="47" t="s">
        <v>380</v>
      </c>
      <c r="D28" s="48" t="s">
        <v>37</v>
      </c>
      <c r="E28" s="49" t="s">
        <v>60</v>
      </c>
      <c r="F28" s="50" t="s">
        <v>63</v>
      </c>
      <c r="G28" s="50" t="s">
        <v>86</v>
      </c>
    </row>
    <row r="29" spans="1:11" ht="15" x14ac:dyDescent="0.25">
      <c r="A29" t="s">
        <v>381</v>
      </c>
      <c r="B29" s="47" t="s">
        <v>36</v>
      </c>
      <c r="C29" s="47" t="s">
        <v>381</v>
      </c>
      <c r="D29" s="48" t="s">
        <v>37</v>
      </c>
      <c r="E29" s="49" t="s">
        <v>61</v>
      </c>
      <c r="F29" s="50" t="s">
        <v>63</v>
      </c>
      <c r="G29" s="50" t="s">
        <v>87</v>
      </c>
    </row>
    <row r="30" spans="1:11" ht="15" x14ac:dyDescent="0.25">
      <c r="A30" t="s">
        <v>382</v>
      </c>
      <c r="B30" s="47" t="s">
        <v>36</v>
      </c>
      <c r="C30" s="47" t="s">
        <v>382</v>
      </c>
      <c r="D30" s="48" t="s">
        <v>37</v>
      </c>
      <c r="E30" s="49" t="s">
        <v>62</v>
      </c>
      <c r="F30" s="50" t="s">
        <v>63</v>
      </c>
      <c r="G30" s="50" t="s">
        <v>88</v>
      </c>
    </row>
    <row r="31" spans="1:11" ht="15" x14ac:dyDescent="0.25">
      <c r="A31" t="s">
        <v>383</v>
      </c>
      <c r="B31" s="50" t="s">
        <v>36</v>
      </c>
      <c r="C31" t="s">
        <v>383</v>
      </c>
      <c r="D31" s="50" t="s">
        <v>37</v>
      </c>
      <c r="E31" s="50" t="s">
        <v>95</v>
      </c>
      <c r="F31" s="50" t="s">
        <v>63</v>
      </c>
      <c r="G31" t="s">
        <v>120</v>
      </c>
    </row>
    <row r="32" spans="1:11" x14ac:dyDescent="0.3">
      <c r="A32" t="s">
        <v>384</v>
      </c>
      <c r="B32" s="50" t="s">
        <v>36</v>
      </c>
      <c r="C32" t="s">
        <v>384</v>
      </c>
      <c r="D32" s="50" t="s">
        <v>37</v>
      </c>
      <c r="E32" s="50" t="s">
        <v>96</v>
      </c>
      <c r="F32" s="50" t="s">
        <v>63</v>
      </c>
      <c r="G32" t="s">
        <v>121</v>
      </c>
      <c r="H32" s="50"/>
      <c r="J32" s="50"/>
      <c r="K32" s="50"/>
    </row>
    <row r="33" spans="1:11" x14ac:dyDescent="0.3">
      <c r="A33" t="s">
        <v>385</v>
      </c>
      <c r="B33" s="50" t="s">
        <v>36</v>
      </c>
      <c r="C33" t="s">
        <v>385</v>
      </c>
      <c r="D33" s="50" t="s">
        <v>37</v>
      </c>
      <c r="E33" s="50" t="s">
        <v>97</v>
      </c>
      <c r="F33" s="50" t="s">
        <v>63</v>
      </c>
      <c r="G33" t="s">
        <v>122</v>
      </c>
      <c r="H33" s="50"/>
      <c r="J33" s="50"/>
      <c r="K33" s="50"/>
    </row>
    <row r="34" spans="1:11" x14ac:dyDescent="0.3">
      <c r="A34" t="s">
        <v>386</v>
      </c>
      <c r="B34" s="50" t="s">
        <v>36</v>
      </c>
      <c r="C34" t="s">
        <v>386</v>
      </c>
      <c r="D34" s="50" t="s">
        <v>37</v>
      </c>
      <c r="E34" s="50" t="s">
        <v>98</v>
      </c>
      <c r="F34" s="50" t="s">
        <v>63</v>
      </c>
      <c r="G34" t="s">
        <v>123</v>
      </c>
      <c r="H34" s="50"/>
      <c r="I34" s="50"/>
      <c r="J34" s="50"/>
      <c r="K34" s="50"/>
    </row>
    <row r="35" spans="1:11" x14ac:dyDescent="0.3">
      <c r="A35" t="s">
        <v>387</v>
      </c>
      <c r="B35" s="50" t="s">
        <v>36</v>
      </c>
      <c r="C35" t="s">
        <v>387</v>
      </c>
      <c r="D35" s="50" t="s">
        <v>37</v>
      </c>
      <c r="E35" s="50" t="s">
        <v>99</v>
      </c>
      <c r="F35" s="50" t="s">
        <v>63</v>
      </c>
      <c r="G35" t="s">
        <v>124</v>
      </c>
      <c r="H35" s="50"/>
      <c r="I35" s="50"/>
      <c r="J35" s="50"/>
      <c r="K35" s="50"/>
    </row>
    <row r="36" spans="1:11" x14ac:dyDescent="0.3">
      <c r="A36" t="s">
        <v>388</v>
      </c>
      <c r="B36" s="50" t="s">
        <v>36</v>
      </c>
      <c r="C36" t="s">
        <v>388</v>
      </c>
      <c r="D36" s="50" t="s">
        <v>37</v>
      </c>
      <c r="E36" s="50" t="s">
        <v>100</v>
      </c>
      <c r="F36" s="50" t="s">
        <v>63</v>
      </c>
      <c r="G36" t="s">
        <v>125</v>
      </c>
      <c r="H36" s="50"/>
      <c r="I36" s="50"/>
      <c r="J36" s="50"/>
      <c r="K36" s="50"/>
    </row>
    <row r="37" spans="1:11" x14ac:dyDescent="0.3">
      <c r="A37" t="s">
        <v>389</v>
      </c>
      <c r="B37" s="50" t="s">
        <v>36</v>
      </c>
      <c r="C37" t="s">
        <v>389</v>
      </c>
      <c r="D37" s="50" t="s">
        <v>37</v>
      </c>
      <c r="E37" s="50" t="s">
        <v>101</v>
      </c>
      <c r="F37" s="50" t="s">
        <v>63</v>
      </c>
      <c r="G37" t="s">
        <v>126</v>
      </c>
      <c r="H37" s="50"/>
      <c r="I37" s="50"/>
      <c r="J37" s="50"/>
      <c r="K37" s="50"/>
    </row>
    <row r="38" spans="1:11" x14ac:dyDescent="0.3">
      <c r="A38" t="s">
        <v>390</v>
      </c>
      <c r="B38" s="50" t="s">
        <v>36</v>
      </c>
      <c r="C38" t="s">
        <v>390</v>
      </c>
      <c r="D38" s="50" t="s">
        <v>37</v>
      </c>
      <c r="E38" s="50" t="s">
        <v>102</v>
      </c>
      <c r="F38" s="50" t="s">
        <v>63</v>
      </c>
      <c r="G38" t="s">
        <v>127</v>
      </c>
      <c r="H38" s="50"/>
      <c r="I38" s="50"/>
      <c r="J38" s="50"/>
      <c r="K38" s="50"/>
    </row>
    <row r="39" spans="1:11" x14ac:dyDescent="0.3">
      <c r="A39" t="s">
        <v>391</v>
      </c>
      <c r="B39" s="50" t="s">
        <v>36</v>
      </c>
      <c r="C39" t="s">
        <v>391</v>
      </c>
      <c r="D39" s="50" t="s">
        <v>37</v>
      </c>
      <c r="E39" s="50" t="s">
        <v>103</v>
      </c>
      <c r="F39" s="50" t="s">
        <v>63</v>
      </c>
      <c r="G39" t="s">
        <v>128</v>
      </c>
      <c r="H39" s="50"/>
      <c r="I39" s="50"/>
      <c r="J39" s="50"/>
      <c r="K39" s="50"/>
    </row>
    <row r="40" spans="1:11" x14ac:dyDescent="0.3">
      <c r="A40" t="s">
        <v>392</v>
      </c>
      <c r="B40" s="50" t="s">
        <v>36</v>
      </c>
      <c r="C40" t="s">
        <v>392</v>
      </c>
      <c r="D40" s="50" t="s">
        <v>37</v>
      </c>
      <c r="E40" s="50" t="s">
        <v>104</v>
      </c>
      <c r="F40" s="50" t="s">
        <v>63</v>
      </c>
      <c r="G40" t="s">
        <v>129</v>
      </c>
      <c r="H40" s="50"/>
      <c r="I40" s="50"/>
      <c r="J40" s="50"/>
      <c r="K40" s="50"/>
    </row>
    <row r="41" spans="1:11" x14ac:dyDescent="0.3">
      <c r="A41" t="s">
        <v>393</v>
      </c>
      <c r="B41" s="50" t="s">
        <v>36</v>
      </c>
      <c r="C41" t="s">
        <v>393</v>
      </c>
      <c r="D41" s="50" t="s">
        <v>37</v>
      </c>
      <c r="E41" s="50" t="s">
        <v>105</v>
      </c>
      <c r="F41" s="50" t="s">
        <v>63</v>
      </c>
      <c r="G41" t="s">
        <v>130</v>
      </c>
      <c r="H41" s="50"/>
      <c r="I41" s="50"/>
      <c r="J41" s="50"/>
      <c r="K41" s="50"/>
    </row>
    <row r="42" spans="1:11" x14ac:dyDescent="0.3">
      <c r="A42" t="s">
        <v>394</v>
      </c>
      <c r="B42" s="50" t="s">
        <v>36</v>
      </c>
      <c r="C42" t="s">
        <v>394</v>
      </c>
      <c r="D42" s="50" t="s">
        <v>37</v>
      </c>
      <c r="E42" s="50" t="s">
        <v>106</v>
      </c>
      <c r="F42" s="50" t="s">
        <v>63</v>
      </c>
      <c r="G42" t="s">
        <v>131</v>
      </c>
      <c r="H42" s="50"/>
      <c r="I42" s="50"/>
      <c r="J42" s="50"/>
      <c r="K42" s="50"/>
    </row>
    <row r="43" spans="1:11" x14ac:dyDescent="0.3">
      <c r="A43" t="s">
        <v>395</v>
      </c>
      <c r="B43" s="50" t="s">
        <v>36</v>
      </c>
      <c r="C43" t="s">
        <v>395</v>
      </c>
      <c r="D43" s="50" t="s">
        <v>37</v>
      </c>
      <c r="E43" s="50" t="s">
        <v>107</v>
      </c>
      <c r="F43" s="50" t="s">
        <v>63</v>
      </c>
      <c r="G43" t="s">
        <v>132</v>
      </c>
      <c r="H43" s="50"/>
      <c r="I43" s="50"/>
      <c r="J43" s="50"/>
      <c r="K43" s="50"/>
    </row>
    <row r="44" spans="1:11" x14ac:dyDescent="0.3">
      <c r="A44" t="s">
        <v>396</v>
      </c>
      <c r="B44" s="50" t="s">
        <v>36</v>
      </c>
      <c r="C44" t="s">
        <v>396</v>
      </c>
      <c r="D44" s="50" t="s">
        <v>37</v>
      </c>
      <c r="E44" s="50" t="s">
        <v>108</v>
      </c>
      <c r="F44" s="50" t="s">
        <v>63</v>
      </c>
      <c r="G44" t="s">
        <v>133</v>
      </c>
      <c r="H44" s="50"/>
      <c r="I44" s="50"/>
      <c r="J44" s="50"/>
      <c r="K44" s="50"/>
    </row>
    <row r="45" spans="1:11" x14ac:dyDescent="0.3">
      <c r="A45" t="s">
        <v>397</v>
      </c>
      <c r="B45" s="50" t="s">
        <v>36</v>
      </c>
      <c r="C45" t="s">
        <v>397</v>
      </c>
      <c r="D45" s="50" t="s">
        <v>37</v>
      </c>
      <c r="E45" s="50" t="s">
        <v>109</v>
      </c>
      <c r="F45" s="50" t="s">
        <v>63</v>
      </c>
      <c r="G45" t="s">
        <v>134</v>
      </c>
      <c r="H45" s="50"/>
      <c r="I45" s="50"/>
      <c r="J45" s="50"/>
      <c r="K45" s="50"/>
    </row>
    <row r="46" spans="1:11" x14ac:dyDescent="0.3">
      <c r="A46" t="s">
        <v>398</v>
      </c>
      <c r="B46" s="50" t="s">
        <v>36</v>
      </c>
      <c r="C46" t="s">
        <v>398</v>
      </c>
      <c r="D46" s="50" t="s">
        <v>37</v>
      </c>
      <c r="E46" s="50" t="s">
        <v>110</v>
      </c>
      <c r="F46" s="50" t="s">
        <v>63</v>
      </c>
      <c r="G46" t="s">
        <v>135</v>
      </c>
      <c r="H46" s="50"/>
      <c r="I46" s="50"/>
      <c r="J46" s="50"/>
      <c r="K46" s="50"/>
    </row>
    <row r="47" spans="1:11" x14ac:dyDescent="0.3">
      <c r="A47" t="s">
        <v>399</v>
      </c>
      <c r="B47" s="50" t="s">
        <v>36</v>
      </c>
      <c r="C47" t="s">
        <v>399</v>
      </c>
      <c r="D47" s="50" t="s">
        <v>37</v>
      </c>
      <c r="E47" s="50" t="s">
        <v>111</v>
      </c>
      <c r="F47" s="50" t="s">
        <v>63</v>
      </c>
      <c r="G47" t="s">
        <v>136</v>
      </c>
      <c r="H47" s="50"/>
      <c r="I47" s="50"/>
      <c r="J47" s="50"/>
      <c r="K47" s="50"/>
    </row>
    <row r="48" spans="1:11" x14ac:dyDescent="0.3">
      <c r="A48" t="s">
        <v>400</v>
      </c>
      <c r="B48" s="50" t="s">
        <v>36</v>
      </c>
      <c r="C48" t="s">
        <v>400</v>
      </c>
      <c r="D48" s="50" t="s">
        <v>37</v>
      </c>
      <c r="E48" s="50" t="s">
        <v>112</v>
      </c>
      <c r="F48" s="50" t="s">
        <v>63</v>
      </c>
      <c r="G48" t="s">
        <v>137</v>
      </c>
      <c r="H48" s="50"/>
      <c r="I48" s="50"/>
      <c r="J48" s="50"/>
      <c r="K48" s="50"/>
    </row>
    <row r="49" spans="1:11" x14ac:dyDescent="0.3">
      <c r="A49" t="s">
        <v>401</v>
      </c>
      <c r="B49" s="50" t="s">
        <v>36</v>
      </c>
      <c r="C49" t="s">
        <v>401</v>
      </c>
      <c r="D49" s="50" t="s">
        <v>37</v>
      </c>
      <c r="E49" s="50" t="s">
        <v>113</v>
      </c>
      <c r="F49" s="50" t="s">
        <v>63</v>
      </c>
      <c r="G49" t="s">
        <v>138</v>
      </c>
      <c r="H49" s="50"/>
      <c r="I49" s="50"/>
      <c r="J49" s="50"/>
      <c r="K49" s="50"/>
    </row>
    <row r="50" spans="1:11" x14ac:dyDescent="0.3">
      <c r="A50" t="s">
        <v>402</v>
      </c>
      <c r="B50" s="50" t="s">
        <v>36</v>
      </c>
      <c r="C50" t="s">
        <v>402</v>
      </c>
      <c r="D50" s="50" t="s">
        <v>37</v>
      </c>
      <c r="E50" s="50" t="s">
        <v>114</v>
      </c>
      <c r="F50" s="50" t="s">
        <v>63</v>
      </c>
      <c r="G50" t="s">
        <v>139</v>
      </c>
      <c r="H50" s="50"/>
      <c r="I50" s="50"/>
      <c r="J50" s="50"/>
      <c r="K50" s="50"/>
    </row>
    <row r="51" spans="1:11" x14ac:dyDescent="0.3">
      <c r="A51" t="s">
        <v>403</v>
      </c>
      <c r="B51" s="50" t="s">
        <v>36</v>
      </c>
      <c r="C51" t="s">
        <v>403</v>
      </c>
      <c r="D51" s="50" t="s">
        <v>37</v>
      </c>
      <c r="E51" s="50" t="s">
        <v>115</v>
      </c>
      <c r="F51" s="50" t="s">
        <v>63</v>
      </c>
      <c r="G51" t="s">
        <v>140</v>
      </c>
      <c r="H51" s="50"/>
      <c r="I51" s="50"/>
      <c r="J51" s="50"/>
      <c r="K51" s="50"/>
    </row>
    <row r="52" spans="1:11" x14ac:dyDescent="0.3">
      <c r="A52" t="s">
        <v>404</v>
      </c>
      <c r="B52" s="50" t="s">
        <v>36</v>
      </c>
      <c r="C52" t="s">
        <v>404</v>
      </c>
      <c r="D52" s="50" t="s">
        <v>37</v>
      </c>
      <c r="E52" s="50" t="s">
        <v>116</v>
      </c>
      <c r="F52" s="50" t="s">
        <v>63</v>
      </c>
      <c r="G52" t="s">
        <v>141</v>
      </c>
      <c r="H52" s="50"/>
      <c r="I52" s="50"/>
      <c r="J52" s="50"/>
      <c r="K52" s="50"/>
    </row>
    <row r="53" spans="1:11" x14ac:dyDescent="0.3">
      <c r="A53" t="s">
        <v>405</v>
      </c>
      <c r="B53" s="50" t="s">
        <v>36</v>
      </c>
      <c r="C53" t="s">
        <v>405</v>
      </c>
      <c r="D53" s="50" t="s">
        <v>37</v>
      </c>
      <c r="E53" s="50" t="s">
        <v>117</v>
      </c>
      <c r="F53" s="50" t="s">
        <v>63</v>
      </c>
      <c r="G53" t="s">
        <v>142</v>
      </c>
      <c r="H53" s="50"/>
      <c r="I53" s="50"/>
      <c r="J53" s="50"/>
      <c r="K53" s="50"/>
    </row>
    <row r="54" spans="1:11" x14ac:dyDescent="0.3">
      <c r="A54" t="s">
        <v>406</v>
      </c>
      <c r="B54" s="50" t="s">
        <v>36</v>
      </c>
      <c r="C54" t="s">
        <v>406</v>
      </c>
      <c r="D54" s="50" t="s">
        <v>37</v>
      </c>
      <c r="E54" s="50" t="s">
        <v>118</v>
      </c>
      <c r="F54" s="50" t="s">
        <v>63</v>
      </c>
      <c r="G54" t="s">
        <v>143</v>
      </c>
      <c r="H54" s="50"/>
      <c r="I54" s="50"/>
      <c r="J54" s="50"/>
      <c r="K54" s="50"/>
    </row>
    <row r="55" spans="1:11" x14ac:dyDescent="0.3">
      <c r="A55" t="s">
        <v>407</v>
      </c>
      <c r="B55" s="50" t="s">
        <v>36</v>
      </c>
      <c r="C55" t="s">
        <v>407</v>
      </c>
      <c r="D55" s="50" t="s">
        <v>37</v>
      </c>
      <c r="E55" s="50" t="s">
        <v>119</v>
      </c>
      <c r="F55" s="50" t="s">
        <v>63</v>
      </c>
      <c r="G55" t="s">
        <v>144</v>
      </c>
      <c r="H55" s="50"/>
      <c r="I55" s="50"/>
      <c r="J55" s="50"/>
      <c r="K55" s="50"/>
    </row>
  </sheetData>
  <mergeCells count="1">
    <mergeCell ref="B1:F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Check_Text_Replace">
                <anchor moveWithCells="1" sizeWithCells="1">
                  <from>
                    <xdr:col>0</xdr:col>
                    <xdr:colOff>22860</xdr:colOff>
                    <xdr:row>0</xdr:row>
                    <xdr:rowOff>0</xdr:rowOff>
                  </from>
                  <to>
                    <xdr:col>0</xdr:col>
                    <xdr:colOff>2133600</xdr:colOff>
                    <xdr:row>2</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U150"/>
  <sheetViews>
    <sheetView topLeftCell="E20" workbookViewId="0">
      <selection activeCell="N1" sqref="N1:N50"/>
    </sheetView>
  </sheetViews>
  <sheetFormatPr defaultRowHeight="14.4" x14ac:dyDescent="0.3"/>
  <cols>
    <col min="14" max="14" width="34.5546875" style="50" bestFit="1" customWidth="1"/>
    <col min="15" max="15" width="8.88671875" style="50"/>
    <col min="17" max="17" width="34.5546875" bestFit="1" customWidth="1"/>
    <col min="20" max="21" width="8.88671875" style="50"/>
  </cols>
  <sheetData>
    <row r="1" spans="1:21" x14ac:dyDescent="0.3">
      <c r="A1" t="s">
        <v>191</v>
      </c>
      <c r="B1" s="51" t="s">
        <v>192</v>
      </c>
      <c r="C1">
        <v>150504</v>
      </c>
      <c r="D1" t="s">
        <v>242</v>
      </c>
      <c r="E1" t="s">
        <v>243</v>
      </c>
      <c r="F1" t="s">
        <v>244</v>
      </c>
      <c r="G1" t="s">
        <v>245</v>
      </c>
      <c r="H1" t="s">
        <v>357</v>
      </c>
      <c r="I1" t="str">
        <f>CONCATENATE(A1,"_",B1,"_",C1,"_",D1,"_",E1,"_",F1,"_",G1,".",H1)</f>
        <v>FLD_001_150504_EC_Q001_WSL_A.wor</v>
      </c>
      <c r="M1">
        <v>1</v>
      </c>
      <c r="N1" s="50" t="str">
        <f>I1</f>
        <v>FLD_001_150504_EC_Q001_WSL_A.wor</v>
      </c>
      <c r="P1">
        <f>M1+1</f>
        <v>2</v>
      </c>
      <c r="Q1" t="str">
        <f>I2</f>
        <v>FLD_002_150504_EC_Q001_WSL_B.wor</v>
      </c>
      <c r="T1" s="50">
        <f>P1+1</f>
        <v>3</v>
      </c>
      <c r="U1" s="50" t="str">
        <f>I3</f>
        <v>FLD_003_150504_EC_Q001_WSL_C.wor</v>
      </c>
    </row>
    <row r="2" spans="1:21" x14ac:dyDescent="0.3">
      <c r="A2" s="50" t="s">
        <v>191</v>
      </c>
      <c r="B2" s="51" t="s">
        <v>193</v>
      </c>
      <c r="C2" s="50">
        <v>150504</v>
      </c>
      <c r="D2" s="50" t="s">
        <v>242</v>
      </c>
      <c r="E2" s="50" t="s">
        <v>243</v>
      </c>
      <c r="F2" s="50" t="s">
        <v>244</v>
      </c>
      <c r="G2" t="s">
        <v>246</v>
      </c>
      <c r="H2" s="50" t="s">
        <v>357</v>
      </c>
      <c r="I2" s="50" t="str">
        <f t="shared" ref="I2:I65" si="0">CONCATENATE(A2,"_",B2,"_",C2,"_",D2,"_",E2,"_",F2,"_",G2,".",H2)</f>
        <v>FLD_002_150504_EC_Q001_WSL_B.wor</v>
      </c>
      <c r="M2">
        <f>M1+3</f>
        <v>4</v>
      </c>
      <c r="N2" s="50" t="str">
        <f>I4</f>
        <v>FLD_004_150504_EC_Q005_WSL_A.wor</v>
      </c>
      <c r="P2">
        <f>P1+3</f>
        <v>5</v>
      </c>
      <c r="Q2" s="50" t="str">
        <f>I5</f>
        <v>FLD_005_150504_EC_Q005_WSL_B.wor</v>
      </c>
      <c r="T2" s="50">
        <f>T1+3</f>
        <v>6</v>
      </c>
      <c r="U2" s="50" t="str">
        <f>I6</f>
        <v>FLD_006_150504_EC_Q005_WSL_C.wor</v>
      </c>
    </row>
    <row r="3" spans="1:21" x14ac:dyDescent="0.3">
      <c r="A3" s="50" t="s">
        <v>191</v>
      </c>
      <c r="B3" s="51" t="s">
        <v>194</v>
      </c>
      <c r="C3" s="50">
        <v>150504</v>
      </c>
      <c r="D3" s="50" t="s">
        <v>242</v>
      </c>
      <c r="E3" s="50" t="s">
        <v>243</v>
      </c>
      <c r="F3" s="50" t="s">
        <v>244</v>
      </c>
      <c r="G3" t="s">
        <v>247</v>
      </c>
      <c r="H3" s="50" t="s">
        <v>357</v>
      </c>
      <c r="I3" s="50" t="str">
        <f t="shared" si="0"/>
        <v>FLD_003_150504_EC_Q001_WSL_C.wor</v>
      </c>
      <c r="M3" s="50">
        <f t="shared" ref="M3:M50" si="1">M2+3</f>
        <v>7</v>
      </c>
      <c r="N3" s="50" t="str">
        <f>I7</f>
        <v>FLD_007_150504_EC_Q010_WSL_A.wor</v>
      </c>
      <c r="P3" s="50">
        <f t="shared" ref="P3" si="2">M3+1</f>
        <v>8</v>
      </c>
      <c r="Q3" s="50" t="str">
        <f>I8</f>
        <v>FLD_008_150504_EC_Q010_WSL_B.wor</v>
      </c>
      <c r="T3" s="50">
        <f t="shared" ref="T3:T50" si="3">T2+3</f>
        <v>9</v>
      </c>
      <c r="U3" s="50" t="str">
        <f>I9</f>
        <v>FLD_009_150504_EC_Q010_WSL_C.wor</v>
      </c>
    </row>
    <row r="4" spans="1:21" x14ac:dyDescent="0.3">
      <c r="A4" s="50" t="s">
        <v>191</v>
      </c>
      <c r="B4" s="51" t="s">
        <v>195</v>
      </c>
      <c r="C4" s="50">
        <v>150504</v>
      </c>
      <c r="D4" s="50" t="s">
        <v>242</v>
      </c>
      <c r="E4" t="s">
        <v>248</v>
      </c>
      <c r="F4" s="50" t="s">
        <v>244</v>
      </c>
      <c r="G4" s="50" t="s">
        <v>245</v>
      </c>
      <c r="H4" s="50" t="s">
        <v>357</v>
      </c>
      <c r="I4" s="50" t="str">
        <f t="shared" si="0"/>
        <v>FLD_004_150504_EC_Q005_WSL_A.wor</v>
      </c>
      <c r="M4" s="50">
        <f t="shared" si="1"/>
        <v>10</v>
      </c>
      <c r="N4" s="50" t="str">
        <f>I10</f>
        <v>FLD_010_150504_EC_Q050_WSL_A.wor</v>
      </c>
      <c r="P4" s="50">
        <f t="shared" ref="P4" si="4">P3+3</f>
        <v>11</v>
      </c>
      <c r="Q4" s="50" t="str">
        <f>I11</f>
        <v>FLD_011_150504_EC_Q050_WSL_B.wor</v>
      </c>
      <c r="T4" s="50">
        <f t="shared" si="3"/>
        <v>12</v>
      </c>
      <c r="U4" s="50" t="str">
        <f>I12</f>
        <v>FLD_012_150504_EC_Q050_WSL_C.wor</v>
      </c>
    </row>
    <row r="5" spans="1:21" x14ac:dyDescent="0.3">
      <c r="A5" s="50" t="s">
        <v>191</v>
      </c>
      <c r="B5" s="51" t="s">
        <v>196</v>
      </c>
      <c r="C5" s="50">
        <v>150504</v>
      </c>
      <c r="D5" s="50" t="s">
        <v>242</v>
      </c>
      <c r="E5" s="50" t="s">
        <v>248</v>
      </c>
      <c r="F5" s="50" t="s">
        <v>244</v>
      </c>
      <c r="G5" s="50" t="s">
        <v>246</v>
      </c>
      <c r="H5" s="50" t="s">
        <v>357</v>
      </c>
      <c r="I5" s="50" t="str">
        <f t="shared" si="0"/>
        <v>FLD_005_150504_EC_Q005_WSL_B.wor</v>
      </c>
      <c r="M5" s="50">
        <f t="shared" si="1"/>
        <v>13</v>
      </c>
      <c r="N5" s="50" t="str">
        <f>I13</f>
        <v>FLD_013_150504_EC_Q100_WSL_A.wor</v>
      </c>
      <c r="P5" s="50">
        <f t="shared" ref="P5" si="5">M5+1</f>
        <v>14</v>
      </c>
      <c r="Q5" s="50" t="str">
        <f>I14</f>
        <v>FLD_014_150504_EC_Q100_WSL_B.wor</v>
      </c>
      <c r="T5" s="50">
        <f t="shared" si="3"/>
        <v>15</v>
      </c>
      <c r="U5" s="50" t="str">
        <f>I15</f>
        <v>FLD_015_150504_EC_Q100_WSL_C.wor</v>
      </c>
    </row>
    <row r="6" spans="1:21" x14ac:dyDescent="0.3">
      <c r="A6" s="50" t="s">
        <v>191</v>
      </c>
      <c r="B6" s="51" t="s">
        <v>197</v>
      </c>
      <c r="C6" s="50">
        <v>150504</v>
      </c>
      <c r="D6" s="50" t="s">
        <v>242</v>
      </c>
      <c r="E6" s="50" t="s">
        <v>248</v>
      </c>
      <c r="F6" s="50" t="s">
        <v>244</v>
      </c>
      <c r="G6" s="50" t="s">
        <v>247</v>
      </c>
      <c r="H6" s="50" t="s">
        <v>357</v>
      </c>
      <c r="I6" s="50" t="str">
        <f t="shared" si="0"/>
        <v>FLD_006_150504_EC_Q005_WSL_C.wor</v>
      </c>
      <c r="M6" s="50">
        <f t="shared" si="1"/>
        <v>16</v>
      </c>
      <c r="N6" s="50" t="str">
        <f>I16</f>
        <v>FLD_016_150504_EC_Q001_DEP_A.wor</v>
      </c>
      <c r="P6" s="50">
        <f t="shared" ref="P6" si="6">P5+3</f>
        <v>17</v>
      </c>
      <c r="Q6" s="50" t="str">
        <f>I17</f>
        <v>FLD_017_150504_EC_Q001_DEP_B.wor</v>
      </c>
      <c r="T6" s="50">
        <f t="shared" si="3"/>
        <v>18</v>
      </c>
      <c r="U6" s="50" t="str">
        <f>I18</f>
        <v>FLD_018_150504_EC_Q001_DEP_C.wor</v>
      </c>
    </row>
    <row r="7" spans="1:21" x14ac:dyDescent="0.3">
      <c r="A7" s="50" t="s">
        <v>191</v>
      </c>
      <c r="B7" s="51" t="s">
        <v>198</v>
      </c>
      <c r="C7" s="50">
        <v>150504</v>
      </c>
      <c r="D7" s="50" t="s">
        <v>242</v>
      </c>
      <c r="E7" t="s">
        <v>249</v>
      </c>
      <c r="F7" s="50" t="s">
        <v>244</v>
      </c>
      <c r="G7" s="50" t="s">
        <v>245</v>
      </c>
      <c r="H7" s="50" t="s">
        <v>357</v>
      </c>
      <c r="I7" s="50" t="str">
        <f t="shared" si="0"/>
        <v>FLD_007_150504_EC_Q010_WSL_A.wor</v>
      </c>
      <c r="M7" s="50">
        <f t="shared" si="1"/>
        <v>19</v>
      </c>
      <c r="N7" s="50" t="str">
        <f>I19</f>
        <v>FLD_019_150504_EC_Q005_DEP_A.wor</v>
      </c>
      <c r="P7" s="50">
        <f t="shared" ref="P7" si="7">M7+1</f>
        <v>20</v>
      </c>
      <c r="Q7" s="50" t="str">
        <f>I20</f>
        <v>FLD_020_150504_EC_Q005_DEP_B.wor</v>
      </c>
      <c r="T7" s="50">
        <f t="shared" si="3"/>
        <v>21</v>
      </c>
      <c r="U7" s="50" t="str">
        <f>I21</f>
        <v>FLD_021_150504_EC_Q005_DEP_C.wor</v>
      </c>
    </row>
    <row r="8" spans="1:21" x14ac:dyDescent="0.3">
      <c r="A8" s="50" t="s">
        <v>191</v>
      </c>
      <c r="B8" s="51" t="s">
        <v>199</v>
      </c>
      <c r="C8" s="50">
        <v>150504</v>
      </c>
      <c r="D8" s="50" t="s">
        <v>242</v>
      </c>
      <c r="E8" s="50" t="s">
        <v>249</v>
      </c>
      <c r="F8" s="50" t="s">
        <v>244</v>
      </c>
      <c r="G8" s="50" t="s">
        <v>246</v>
      </c>
      <c r="H8" s="50" t="s">
        <v>357</v>
      </c>
      <c r="I8" s="50" t="str">
        <f t="shared" si="0"/>
        <v>FLD_008_150504_EC_Q010_WSL_B.wor</v>
      </c>
      <c r="M8" s="50">
        <f t="shared" si="1"/>
        <v>22</v>
      </c>
      <c r="N8" s="50" t="str">
        <f>I22</f>
        <v>FLD_022_150504_EC_Q010_DEP_A.wor</v>
      </c>
      <c r="P8" s="50">
        <f t="shared" ref="P8" si="8">P7+3</f>
        <v>23</v>
      </c>
      <c r="Q8" s="50" t="str">
        <f>I23</f>
        <v>FLD_023_150504_EC_Q010_DEP_B.wor</v>
      </c>
      <c r="T8" s="50">
        <f t="shared" si="3"/>
        <v>24</v>
      </c>
      <c r="U8" s="50" t="str">
        <f>I24</f>
        <v>FLD_024_150504_EC_Q010_DEP_C.wor</v>
      </c>
    </row>
    <row r="9" spans="1:21" x14ac:dyDescent="0.3">
      <c r="A9" s="50" t="s">
        <v>191</v>
      </c>
      <c r="B9" s="51" t="s">
        <v>200</v>
      </c>
      <c r="C9" s="50">
        <v>150504</v>
      </c>
      <c r="D9" s="50" t="s">
        <v>242</v>
      </c>
      <c r="E9" s="50" t="s">
        <v>249</v>
      </c>
      <c r="F9" s="50" t="s">
        <v>244</v>
      </c>
      <c r="G9" s="50" t="s">
        <v>247</v>
      </c>
      <c r="H9" s="50" t="s">
        <v>357</v>
      </c>
      <c r="I9" s="50" t="str">
        <f t="shared" si="0"/>
        <v>FLD_009_150504_EC_Q010_WSL_C.wor</v>
      </c>
      <c r="M9" s="50">
        <f t="shared" si="1"/>
        <v>25</v>
      </c>
      <c r="N9" s="50" t="str">
        <f>I25</f>
        <v>FLD_025_150504_EC_Q050_DEP_A.wor</v>
      </c>
      <c r="P9" s="50">
        <f t="shared" ref="P9" si="9">M9+1</f>
        <v>26</v>
      </c>
      <c r="Q9" s="50" t="str">
        <f>I26</f>
        <v>FLD_026_150504_EC_Q050_DEP_B.wor</v>
      </c>
      <c r="T9" s="50">
        <f t="shared" si="3"/>
        <v>27</v>
      </c>
      <c r="U9" s="50" t="str">
        <f>I27</f>
        <v>FLD_027_150504_EC_Q050_DEP_C.wor</v>
      </c>
    </row>
    <row r="10" spans="1:21" x14ac:dyDescent="0.3">
      <c r="A10" s="50" t="s">
        <v>191</v>
      </c>
      <c r="B10" s="51" t="s">
        <v>201</v>
      </c>
      <c r="C10" s="50">
        <v>150504</v>
      </c>
      <c r="D10" s="50" t="s">
        <v>242</v>
      </c>
      <c r="E10" t="s">
        <v>250</v>
      </c>
      <c r="F10" s="50" t="s">
        <v>244</v>
      </c>
      <c r="G10" s="50" t="s">
        <v>245</v>
      </c>
      <c r="H10" s="50" t="s">
        <v>357</v>
      </c>
      <c r="I10" s="50" t="str">
        <f t="shared" si="0"/>
        <v>FLD_010_150504_EC_Q050_WSL_A.wor</v>
      </c>
      <c r="M10" s="50">
        <f t="shared" si="1"/>
        <v>28</v>
      </c>
      <c r="N10" s="50" t="str">
        <f>I28</f>
        <v>FLD_028_150504_EC_Q100_DEP_A.wor</v>
      </c>
      <c r="P10" s="50">
        <f t="shared" ref="P10" si="10">P9+3</f>
        <v>29</v>
      </c>
      <c r="Q10" s="50" t="str">
        <f>I29</f>
        <v>FLD_029_150504_EC_Q100_DEP_B.wor</v>
      </c>
      <c r="T10" s="50">
        <f t="shared" si="3"/>
        <v>30</v>
      </c>
      <c r="U10" s="50" t="str">
        <f>I30</f>
        <v>FLD_030_150504_EC_Q100_DEP_C.wor</v>
      </c>
    </row>
    <row r="11" spans="1:21" x14ac:dyDescent="0.3">
      <c r="A11" s="50" t="s">
        <v>191</v>
      </c>
      <c r="B11" s="51" t="s">
        <v>202</v>
      </c>
      <c r="C11" s="50">
        <v>150504</v>
      </c>
      <c r="D11" s="50" t="s">
        <v>242</v>
      </c>
      <c r="E11" s="50" t="s">
        <v>250</v>
      </c>
      <c r="F11" s="50" t="s">
        <v>244</v>
      </c>
      <c r="G11" s="50" t="s">
        <v>246</v>
      </c>
      <c r="H11" s="50" t="s">
        <v>357</v>
      </c>
      <c r="I11" s="50" t="str">
        <f t="shared" si="0"/>
        <v>FLD_011_150504_EC_Q050_WSL_B.wor</v>
      </c>
      <c r="M11" s="50">
        <f t="shared" si="1"/>
        <v>31</v>
      </c>
      <c r="N11" s="50" t="str">
        <f>I31</f>
        <v>FLD_031_150504_EC_Q001_VEL_A.wor</v>
      </c>
      <c r="P11" s="50">
        <f t="shared" ref="P11" si="11">M11+1</f>
        <v>32</v>
      </c>
      <c r="Q11" s="50" t="str">
        <f>I32</f>
        <v>FLD_032_150504_EC_Q001_VEL_B.wor</v>
      </c>
      <c r="T11" s="50">
        <f t="shared" si="3"/>
        <v>33</v>
      </c>
      <c r="U11" s="50" t="str">
        <f>I33</f>
        <v>FLD_033_150504_EC_Q001_VEL_C.wor</v>
      </c>
    </row>
    <row r="12" spans="1:21" x14ac:dyDescent="0.3">
      <c r="A12" s="50" t="s">
        <v>191</v>
      </c>
      <c r="B12" s="51" t="s">
        <v>203</v>
      </c>
      <c r="C12" s="50">
        <v>150504</v>
      </c>
      <c r="D12" s="50" t="s">
        <v>242</v>
      </c>
      <c r="E12" s="50" t="s">
        <v>250</v>
      </c>
      <c r="F12" s="50" t="s">
        <v>244</v>
      </c>
      <c r="G12" s="50" t="s">
        <v>247</v>
      </c>
      <c r="H12" s="50" t="s">
        <v>357</v>
      </c>
      <c r="I12" s="50" t="str">
        <f t="shared" si="0"/>
        <v>FLD_012_150504_EC_Q050_WSL_C.wor</v>
      </c>
      <c r="M12" s="50">
        <f t="shared" si="1"/>
        <v>34</v>
      </c>
      <c r="N12" s="50" t="str">
        <f>I34</f>
        <v>FLD_034_150504_EC_Q005_VEL_A.wor</v>
      </c>
      <c r="P12" s="50">
        <f t="shared" ref="P12" si="12">P11+3</f>
        <v>35</v>
      </c>
      <c r="Q12" s="50" t="str">
        <f>I35</f>
        <v>FLD_035_150504_EC_Q005_VEL_B.wor</v>
      </c>
      <c r="T12" s="50">
        <f t="shared" si="3"/>
        <v>36</v>
      </c>
      <c r="U12" s="50" t="str">
        <f>I36</f>
        <v>FLD_036_150504_EC_Q005_VEL_C.wor</v>
      </c>
    </row>
    <row r="13" spans="1:21" x14ac:dyDescent="0.3">
      <c r="A13" s="50" t="s">
        <v>191</v>
      </c>
      <c r="B13" s="51" t="s">
        <v>204</v>
      </c>
      <c r="C13" s="50">
        <v>150504</v>
      </c>
      <c r="D13" s="50" t="s">
        <v>242</v>
      </c>
      <c r="E13" t="s">
        <v>251</v>
      </c>
      <c r="F13" s="50" t="s">
        <v>244</v>
      </c>
      <c r="G13" s="50" t="s">
        <v>245</v>
      </c>
      <c r="H13" s="50" t="s">
        <v>357</v>
      </c>
      <c r="I13" s="50" t="str">
        <f t="shared" si="0"/>
        <v>FLD_013_150504_EC_Q100_WSL_A.wor</v>
      </c>
      <c r="M13" s="50">
        <f t="shared" si="1"/>
        <v>37</v>
      </c>
      <c r="N13" s="50" t="str">
        <f>I37</f>
        <v>FLD_037_150504_EC_Q010_VEL_A.wor</v>
      </c>
      <c r="P13" s="50">
        <f t="shared" ref="P13" si="13">M13+1</f>
        <v>38</v>
      </c>
      <c r="Q13" s="50" t="str">
        <f>I38</f>
        <v>FLD_038_150504_EC_Q010_VEL_B.wor</v>
      </c>
      <c r="T13" s="50">
        <f t="shared" si="3"/>
        <v>39</v>
      </c>
      <c r="U13" s="50" t="str">
        <f>I39</f>
        <v>FLD_039_150504_EC_Q010_VEL_C.wor</v>
      </c>
    </row>
    <row r="14" spans="1:21" x14ac:dyDescent="0.3">
      <c r="A14" s="50" t="s">
        <v>191</v>
      </c>
      <c r="B14" s="51" t="s">
        <v>205</v>
      </c>
      <c r="C14" s="50">
        <v>150504</v>
      </c>
      <c r="D14" s="50" t="s">
        <v>242</v>
      </c>
      <c r="E14" s="50" t="s">
        <v>251</v>
      </c>
      <c r="F14" s="50" t="s">
        <v>244</v>
      </c>
      <c r="G14" s="50" t="s">
        <v>246</v>
      </c>
      <c r="H14" s="50" t="s">
        <v>357</v>
      </c>
      <c r="I14" s="50" t="str">
        <f t="shared" si="0"/>
        <v>FLD_014_150504_EC_Q100_WSL_B.wor</v>
      </c>
      <c r="M14" s="50">
        <f t="shared" si="1"/>
        <v>40</v>
      </c>
      <c r="N14" s="50" t="str">
        <f>I40</f>
        <v>FLD_040_150504_EC_Q050_VEL_A.wor</v>
      </c>
      <c r="P14" s="50">
        <f t="shared" ref="P14" si="14">P13+3</f>
        <v>41</v>
      </c>
      <c r="Q14" s="50" t="str">
        <f>I41</f>
        <v>FLD_041_150504_EC_Q050_VEL_B.wor</v>
      </c>
      <c r="T14" s="50">
        <f t="shared" si="3"/>
        <v>42</v>
      </c>
      <c r="U14" s="50" t="str">
        <f>I42</f>
        <v>FLD_042_150504_EC_Q050_VEL_C.wor</v>
      </c>
    </row>
    <row r="15" spans="1:21" x14ac:dyDescent="0.3">
      <c r="A15" s="50" t="s">
        <v>191</v>
      </c>
      <c r="B15" s="51" t="s">
        <v>206</v>
      </c>
      <c r="C15" s="50">
        <v>150504</v>
      </c>
      <c r="D15" s="50" t="s">
        <v>242</v>
      </c>
      <c r="E15" s="50" t="s">
        <v>251</v>
      </c>
      <c r="F15" s="50" t="s">
        <v>244</v>
      </c>
      <c r="G15" s="50" t="s">
        <v>247</v>
      </c>
      <c r="H15" s="50" t="s">
        <v>357</v>
      </c>
      <c r="I15" s="50" t="str">
        <f t="shared" si="0"/>
        <v>FLD_015_150504_EC_Q100_WSL_C.wor</v>
      </c>
      <c r="M15" s="50">
        <f t="shared" si="1"/>
        <v>43</v>
      </c>
      <c r="N15" s="50" t="str">
        <f>I43</f>
        <v>FLD_043_150504_EC_Q100_VEL_A.wor</v>
      </c>
      <c r="P15" s="50">
        <f t="shared" ref="P15" si="15">M15+1</f>
        <v>44</v>
      </c>
      <c r="Q15" s="50" t="str">
        <f>I44</f>
        <v>FLD_044_150504_EC_Q100_VEL_B.wor</v>
      </c>
      <c r="T15" s="50">
        <f t="shared" si="3"/>
        <v>45</v>
      </c>
      <c r="U15" s="50" t="str">
        <f>I45</f>
        <v>FLD_045_150504_EC_Q100_VEL_C.wor</v>
      </c>
    </row>
    <row r="16" spans="1:21" x14ac:dyDescent="0.3">
      <c r="A16" s="50" t="s">
        <v>191</v>
      </c>
      <c r="B16" s="51" t="s">
        <v>207</v>
      </c>
      <c r="C16" s="50">
        <v>150504</v>
      </c>
      <c r="D16" s="50" t="s">
        <v>242</v>
      </c>
      <c r="E16" s="50" t="s">
        <v>243</v>
      </c>
      <c r="F16" s="50" t="s">
        <v>252</v>
      </c>
      <c r="G16" s="50" t="s">
        <v>245</v>
      </c>
      <c r="H16" s="50" t="s">
        <v>357</v>
      </c>
      <c r="I16" s="50" t="str">
        <f t="shared" si="0"/>
        <v>FLD_016_150504_EC_Q001_DEP_A.wor</v>
      </c>
      <c r="M16" s="50">
        <f t="shared" si="1"/>
        <v>46</v>
      </c>
      <c r="N16" s="50" t="str">
        <f>I46</f>
        <v>FLD_046_150504_EC_Q001_VxD_A.wor</v>
      </c>
      <c r="P16" s="50">
        <f t="shared" ref="P16" si="16">P15+3</f>
        <v>47</v>
      </c>
      <c r="Q16" s="50" t="str">
        <f>I47</f>
        <v>FLD_047_150504_EC_Q001_VxD_B.wor</v>
      </c>
      <c r="T16" s="50">
        <f t="shared" si="3"/>
        <v>48</v>
      </c>
      <c r="U16" s="50" t="str">
        <f>I48</f>
        <v>FLD_048_150504_EC_Q001_VxD_C.wor</v>
      </c>
    </row>
    <row r="17" spans="1:21" x14ac:dyDescent="0.3">
      <c r="A17" s="50" t="s">
        <v>191</v>
      </c>
      <c r="B17" s="51" t="s">
        <v>208</v>
      </c>
      <c r="C17" s="50">
        <v>150504</v>
      </c>
      <c r="D17" s="50" t="s">
        <v>242</v>
      </c>
      <c r="E17" s="50" t="s">
        <v>243</v>
      </c>
      <c r="F17" s="50" t="s">
        <v>252</v>
      </c>
      <c r="G17" s="50" t="s">
        <v>246</v>
      </c>
      <c r="H17" s="50" t="s">
        <v>357</v>
      </c>
      <c r="I17" s="50" t="str">
        <f t="shared" si="0"/>
        <v>FLD_017_150504_EC_Q001_DEP_B.wor</v>
      </c>
      <c r="M17" s="50">
        <f t="shared" si="1"/>
        <v>49</v>
      </c>
      <c r="N17" s="50" t="str">
        <f>I49</f>
        <v>FLD_049_150504_EC_Q005_VxD_A.wor</v>
      </c>
      <c r="P17" s="50">
        <f t="shared" ref="P17" si="17">M17+1</f>
        <v>50</v>
      </c>
      <c r="Q17" s="50" t="str">
        <f>I50</f>
        <v>FLD_050_150504_EC_Q005_VxD_B.wor</v>
      </c>
      <c r="T17" s="50">
        <f t="shared" si="3"/>
        <v>51</v>
      </c>
      <c r="U17" s="50" t="str">
        <f>I51</f>
        <v>FLD_051_150504_EC_Q005_VxD_C.wor</v>
      </c>
    </row>
    <row r="18" spans="1:21" x14ac:dyDescent="0.3">
      <c r="A18" s="50" t="s">
        <v>191</v>
      </c>
      <c r="B18" s="51" t="s">
        <v>209</v>
      </c>
      <c r="C18" s="50">
        <v>150504</v>
      </c>
      <c r="D18" s="50" t="s">
        <v>242</v>
      </c>
      <c r="E18" s="50" t="s">
        <v>243</v>
      </c>
      <c r="F18" s="50" t="s">
        <v>252</v>
      </c>
      <c r="G18" s="50" t="s">
        <v>247</v>
      </c>
      <c r="H18" s="50" t="s">
        <v>357</v>
      </c>
      <c r="I18" s="50" t="str">
        <f t="shared" si="0"/>
        <v>FLD_018_150504_EC_Q001_DEP_C.wor</v>
      </c>
      <c r="M18" s="50">
        <f t="shared" si="1"/>
        <v>52</v>
      </c>
      <c r="N18" s="50" t="str">
        <f>I52</f>
        <v>FLD_052_150504_EC_Q010_VxD_A.wor</v>
      </c>
      <c r="P18" s="50">
        <f t="shared" ref="P18" si="18">P17+3</f>
        <v>53</v>
      </c>
      <c r="Q18" s="50" t="str">
        <f>I53</f>
        <v>FLD_053_150504_EC_Q010_VxD_B.wor</v>
      </c>
      <c r="T18" s="50">
        <f t="shared" si="3"/>
        <v>54</v>
      </c>
      <c r="U18" s="50" t="str">
        <f>I54</f>
        <v>FLD_054_150504_EC_Q010_VxD_C.wor</v>
      </c>
    </row>
    <row r="19" spans="1:21" x14ac:dyDescent="0.3">
      <c r="A19" s="50" t="s">
        <v>191</v>
      </c>
      <c r="B19" s="51" t="s">
        <v>210</v>
      </c>
      <c r="C19" s="50">
        <v>150504</v>
      </c>
      <c r="D19" s="50" t="s">
        <v>242</v>
      </c>
      <c r="E19" s="50" t="s">
        <v>248</v>
      </c>
      <c r="F19" s="50" t="s">
        <v>252</v>
      </c>
      <c r="G19" s="50" t="s">
        <v>245</v>
      </c>
      <c r="H19" s="50" t="s">
        <v>357</v>
      </c>
      <c r="I19" s="50" t="str">
        <f t="shared" si="0"/>
        <v>FLD_019_150504_EC_Q005_DEP_A.wor</v>
      </c>
      <c r="M19" s="50">
        <f t="shared" si="1"/>
        <v>55</v>
      </c>
      <c r="N19" s="50" t="str">
        <f>I55</f>
        <v>FLD_055_150504_EC_Q050_VxD_A.wor</v>
      </c>
      <c r="P19" s="50">
        <f t="shared" ref="P19" si="19">M19+1</f>
        <v>56</v>
      </c>
      <c r="Q19" s="50" t="str">
        <f>I56</f>
        <v>FLD_056_150504_EC_Q050_VxD_B.wor</v>
      </c>
      <c r="T19" s="50">
        <f t="shared" si="3"/>
        <v>57</v>
      </c>
      <c r="U19" s="50" t="str">
        <f>I57</f>
        <v>FLD_057_150504_EC_Q050_VxD_C.wor</v>
      </c>
    </row>
    <row r="20" spans="1:21" x14ac:dyDescent="0.3">
      <c r="A20" s="50" t="s">
        <v>191</v>
      </c>
      <c r="B20" s="51" t="s">
        <v>211</v>
      </c>
      <c r="C20" s="50">
        <v>150504</v>
      </c>
      <c r="D20" s="50" t="s">
        <v>242</v>
      </c>
      <c r="E20" s="50" t="s">
        <v>248</v>
      </c>
      <c r="F20" s="50" t="s">
        <v>252</v>
      </c>
      <c r="G20" s="50" t="s">
        <v>246</v>
      </c>
      <c r="H20" s="50" t="s">
        <v>357</v>
      </c>
      <c r="I20" s="50" t="str">
        <f t="shared" si="0"/>
        <v>FLD_020_150504_EC_Q005_DEP_B.wor</v>
      </c>
      <c r="M20" s="50">
        <f t="shared" si="1"/>
        <v>58</v>
      </c>
      <c r="N20" s="50" t="str">
        <f>I58</f>
        <v>FLD_058_150504_EC_Q100_VxD_A.wor</v>
      </c>
      <c r="P20" s="50">
        <f t="shared" ref="P20" si="20">P19+3</f>
        <v>59</v>
      </c>
      <c r="Q20" s="50" t="str">
        <f>I59</f>
        <v>FLD_059_150504_EC_Q100_VxD_B.wor</v>
      </c>
      <c r="T20" s="50">
        <f t="shared" si="3"/>
        <v>60</v>
      </c>
      <c r="U20" s="50" t="str">
        <f>I60</f>
        <v>FLD_060_150504_EC_Q100_VxD_C.wor</v>
      </c>
    </row>
    <row r="21" spans="1:21" x14ac:dyDescent="0.3">
      <c r="A21" s="50" t="s">
        <v>191</v>
      </c>
      <c r="B21" s="51" t="s">
        <v>212</v>
      </c>
      <c r="C21" s="50">
        <v>150504</v>
      </c>
      <c r="D21" s="50" t="s">
        <v>242</v>
      </c>
      <c r="E21" s="50" t="s">
        <v>248</v>
      </c>
      <c r="F21" s="50" t="s">
        <v>252</v>
      </c>
      <c r="G21" s="50" t="s">
        <v>247</v>
      </c>
      <c r="H21" s="50" t="s">
        <v>357</v>
      </c>
      <c r="I21" s="50" t="str">
        <f t="shared" si="0"/>
        <v>FLD_021_150504_EC_Q005_DEP_C.wor</v>
      </c>
      <c r="M21" s="50">
        <f t="shared" si="1"/>
        <v>61</v>
      </c>
      <c r="N21" s="50" t="str">
        <f>I61</f>
        <v>FLD_061_150504_EC_Q001_HAZ_A.wor</v>
      </c>
      <c r="P21" s="50">
        <f t="shared" ref="P21" si="21">M21+1</f>
        <v>62</v>
      </c>
      <c r="Q21" s="50" t="str">
        <f>I62</f>
        <v>FLD_062_150504_EC_Q001_HAZ_B.wor</v>
      </c>
      <c r="T21" s="50">
        <f t="shared" si="3"/>
        <v>63</v>
      </c>
      <c r="U21" s="50" t="str">
        <f>I63</f>
        <v>FLD_063_150504_EC_Q001_HAZ_C.wor</v>
      </c>
    </row>
    <row r="22" spans="1:21" x14ac:dyDescent="0.3">
      <c r="A22" s="50" t="s">
        <v>191</v>
      </c>
      <c r="B22" s="51" t="s">
        <v>213</v>
      </c>
      <c r="C22" s="50">
        <v>150504</v>
      </c>
      <c r="D22" s="50" t="s">
        <v>242</v>
      </c>
      <c r="E22" s="50" t="s">
        <v>249</v>
      </c>
      <c r="F22" s="50" t="s">
        <v>252</v>
      </c>
      <c r="G22" s="50" t="s">
        <v>245</v>
      </c>
      <c r="H22" s="50" t="s">
        <v>357</v>
      </c>
      <c r="I22" s="50" t="str">
        <f t="shared" si="0"/>
        <v>FLD_022_150504_EC_Q010_DEP_A.wor</v>
      </c>
      <c r="M22" s="50">
        <f t="shared" si="1"/>
        <v>64</v>
      </c>
      <c r="N22" s="50" t="str">
        <f>I64</f>
        <v>FLD_064_150504_EC_Q005_HAZ_A.wor</v>
      </c>
      <c r="P22" s="50">
        <f t="shared" ref="P22" si="22">P21+3</f>
        <v>65</v>
      </c>
      <c r="Q22" s="50" t="str">
        <f>I65</f>
        <v>FLD_065_150504_EC_Q005_HAZ_B.wor</v>
      </c>
      <c r="T22" s="50">
        <f t="shared" si="3"/>
        <v>66</v>
      </c>
      <c r="U22" s="50" t="str">
        <f>I66</f>
        <v>FLD_066_150504_EC_Q005_HAZ_C.wor</v>
      </c>
    </row>
    <row r="23" spans="1:21" x14ac:dyDescent="0.3">
      <c r="A23" s="50" t="s">
        <v>191</v>
      </c>
      <c r="B23" s="51" t="s">
        <v>214</v>
      </c>
      <c r="C23" s="50">
        <v>150504</v>
      </c>
      <c r="D23" s="50" t="s">
        <v>242</v>
      </c>
      <c r="E23" s="50" t="s">
        <v>249</v>
      </c>
      <c r="F23" s="50" t="s">
        <v>252</v>
      </c>
      <c r="G23" s="50" t="s">
        <v>246</v>
      </c>
      <c r="H23" s="50" t="s">
        <v>357</v>
      </c>
      <c r="I23" s="50" t="str">
        <f t="shared" si="0"/>
        <v>FLD_023_150504_EC_Q010_DEP_B.wor</v>
      </c>
      <c r="M23" s="50">
        <f t="shared" si="1"/>
        <v>67</v>
      </c>
      <c r="N23" s="50" t="str">
        <f>I67</f>
        <v>FLD_067_150504_EC_Q010_HAZ_A.wor</v>
      </c>
      <c r="P23" s="50">
        <f t="shared" ref="P23" si="23">M23+1</f>
        <v>68</v>
      </c>
      <c r="Q23" s="50" t="str">
        <f>I68</f>
        <v>FLD_068_150504_EC_Q010_HAZ_B.wor</v>
      </c>
      <c r="T23" s="50">
        <f t="shared" si="3"/>
        <v>69</v>
      </c>
      <c r="U23" s="50" t="str">
        <f>I69</f>
        <v>FLD_069_150504_EC_Q010_HAZ_C.wor</v>
      </c>
    </row>
    <row r="24" spans="1:21" x14ac:dyDescent="0.3">
      <c r="A24" s="50" t="s">
        <v>191</v>
      </c>
      <c r="B24" s="51" t="s">
        <v>215</v>
      </c>
      <c r="C24" s="50">
        <v>150504</v>
      </c>
      <c r="D24" s="50" t="s">
        <v>242</v>
      </c>
      <c r="E24" s="50" t="s">
        <v>249</v>
      </c>
      <c r="F24" s="50" t="s">
        <v>252</v>
      </c>
      <c r="G24" s="50" t="s">
        <v>247</v>
      </c>
      <c r="H24" s="50" t="s">
        <v>357</v>
      </c>
      <c r="I24" s="50" t="str">
        <f t="shared" si="0"/>
        <v>FLD_024_150504_EC_Q010_DEP_C.wor</v>
      </c>
      <c r="M24" s="50">
        <f t="shared" si="1"/>
        <v>70</v>
      </c>
      <c r="N24" s="50" t="str">
        <f>I70</f>
        <v>FLD_070_150504_EC_Q050_HAZ_A.wor</v>
      </c>
      <c r="P24" s="50">
        <f t="shared" ref="P24" si="24">P23+3</f>
        <v>71</v>
      </c>
      <c r="Q24" s="50" t="str">
        <f>I71</f>
        <v>FLD_071_150504_EC_Q050_HAZ_B.wor</v>
      </c>
      <c r="T24" s="50">
        <f t="shared" si="3"/>
        <v>72</v>
      </c>
      <c r="U24" s="50" t="str">
        <f>I72</f>
        <v>FLD_072_150504_EC_Q050_HAZ_C.wor</v>
      </c>
    </row>
    <row r="25" spans="1:21" x14ac:dyDescent="0.3">
      <c r="A25" s="50" t="s">
        <v>191</v>
      </c>
      <c r="B25" s="51" t="s">
        <v>216</v>
      </c>
      <c r="C25" s="50">
        <v>150504</v>
      </c>
      <c r="D25" s="50" t="s">
        <v>242</v>
      </c>
      <c r="E25" s="50" t="s">
        <v>250</v>
      </c>
      <c r="F25" s="50" t="s">
        <v>252</v>
      </c>
      <c r="G25" s="50" t="s">
        <v>245</v>
      </c>
      <c r="H25" s="50" t="s">
        <v>357</v>
      </c>
      <c r="I25" s="50" t="str">
        <f t="shared" si="0"/>
        <v>FLD_025_150504_EC_Q050_DEP_A.wor</v>
      </c>
      <c r="M25" s="50">
        <f t="shared" si="1"/>
        <v>73</v>
      </c>
      <c r="N25" s="50" t="str">
        <f>I73</f>
        <v>FLD_073_150504_EC_Q100_HAZ_A.wor</v>
      </c>
      <c r="P25" s="50">
        <f t="shared" ref="P25" si="25">M25+1</f>
        <v>74</v>
      </c>
      <c r="Q25" s="50" t="str">
        <f>I74</f>
        <v>FLD_074_150504_EC_Q100_HAZ_B.wor</v>
      </c>
      <c r="T25" s="50">
        <f t="shared" si="3"/>
        <v>75</v>
      </c>
      <c r="U25" s="50" t="str">
        <f>I75</f>
        <v>FLD_075_150504_EC_Q100_HAZ_C.wor</v>
      </c>
    </row>
    <row r="26" spans="1:21" x14ac:dyDescent="0.3">
      <c r="A26" s="50" t="s">
        <v>191</v>
      </c>
      <c r="B26" s="51" t="s">
        <v>217</v>
      </c>
      <c r="C26" s="50">
        <v>150504</v>
      </c>
      <c r="D26" s="50" t="s">
        <v>242</v>
      </c>
      <c r="E26" s="50" t="s">
        <v>250</v>
      </c>
      <c r="F26" s="50" t="s">
        <v>252</v>
      </c>
      <c r="G26" s="50" t="s">
        <v>246</v>
      </c>
      <c r="H26" s="50" t="s">
        <v>357</v>
      </c>
      <c r="I26" s="50" t="str">
        <f t="shared" si="0"/>
        <v>FLD_026_150504_EC_Q050_DEP_B.wor</v>
      </c>
      <c r="M26" s="50">
        <f t="shared" si="1"/>
        <v>76</v>
      </c>
      <c r="N26" s="50" t="str">
        <f>I76</f>
        <v>FLD_076_150504_FC_Q001_WSL_A.wor</v>
      </c>
      <c r="P26" s="50">
        <f t="shared" ref="P26" si="26">P25+3</f>
        <v>77</v>
      </c>
      <c r="Q26" s="50" t="str">
        <f>I77</f>
        <v>FLD_077_150504_FC_Q001_WSL_B.wor</v>
      </c>
      <c r="T26" s="50">
        <f t="shared" si="3"/>
        <v>78</v>
      </c>
      <c r="U26" s="50" t="str">
        <f>I78</f>
        <v>FLD_078_150504_FC_Q001_WSL_C.wor</v>
      </c>
    </row>
    <row r="27" spans="1:21" x14ac:dyDescent="0.3">
      <c r="A27" s="50" t="s">
        <v>191</v>
      </c>
      <c r="B27" s="51" t="s">
        <v>218</v>
      </c>
      <c r="C27" s="50">
        <v>150504</v>
      </c>
      <c r="D27" s="50" t="s">
        <v>242</v>
      </c>
      <c r="E27" s="50" t="s">
        <v>250</v>
      </c>
      <c r="F27" s="50" t="s">
        <v>252</v>
      </c>
      <c r="G27" s="50" t="s">
        <v>247</v>
      </c>
      <c r="H27" s="50" t="s">
        <v>357</v>
      </c>
      <c r="I27" s="50" t="str">
        <f t="shared" si="0"/>
        <v>FLD_027_150504_EC_Q050_DEP_C.wor</v>
      </c>
      <c r="M27" s="50">
        <f t="shared" si="1"/>
        <v>79</v>
      </c>
      <c r="N27" s="50" t="str">
        <f>I79</f>
        <v>FLD_079_150504_FC_Q005_WSL_A.wor</v>
      </c>
      <c r="P27" s="50">
        <f t="shared" ref="P27" si="27">M27+1</f>
        <v>80</v>
      </c>
      <c r="Q27" s="50" t="str">
        <f>I80</f>
        <v>FLD_080_150504_FC_Q005_WSL_B.wor</v>
      </c>
      <c r="T27" s="50">
        <f t="shared" si="3"/>
        <v>81</v>
      </c>
      <c r="U27" s="50" t="str">
        <f>I81</f>
        <v>FLD_081_150504_FC_Q005_WSL_C.wor</v>
      </c>
    </row>
    <row r="28" spans="1:21" x14ac:dyDescent="0.3">
      <c r="A28" s="50" t="s">
        <v>191</v>
      </c>
      <c r="B28" s="51" t="s">
        <v>219</v>
      </c>
      <c r="C28" s="50">
        <v>150504</v>
      </c>
      <c r="D28" s="50" t="s">
        <v>242</v>
      </c>
      <c r="E28" s="50" t="s">
        <v>251</v>
      </c>
      <c r="F28" s="50" t="s">
        <v>252</v>
      </c>
      <c r="G28" s="50" t="s">
        <v>245</v>
      </c>
      <c r="H28" s="50" t="s">
        <v>357</v>
      </c>
      <c r="I28" s="50" t="str">
        <f t="shared" si="0"/>
        <v>FLD_028_150504_EC_Q100_DEP_A.wor</v>
      </c>
      <c r="M28" s="50">
        <f t="shared" si="1"/>
        <v>82</v>
      </c>
      <c r="N28" s="50" t="str">
        <f>I82</f>
        <v>FLD_082_150504_FC_Q010_WSL_A.wor</v>
      </c>
      <c r="P28" s="50">
        <f t="shared" ref="P28" si="28">P27+3</f>
        <v>83</v>
      </c>
      <c r="Q28" s="50" t="str">
        <f>I83</f>
        <v>FLD_083_150504_FC_Q010_WSL_B.wor</v>
      </c>
      <c r="T28" s="50">
        <f t="shared" si="3"/>
        <v>84</v>
      </c>
      <c r="U28" s="50" t="str">
        <f>I84</f>
        <v>FLD_084_150504_FC_Q010_WSL_C.wor</v>
      </c>
    </row>
    <row r="29" spans="1:21" x14ac:dyDescent="0.3">
      <c r="A29" s="50" t="s">
        <v>191</v>
      </c>
      <c r="B29" s="51" t="s">
        <v>220</v>
      </c>
      <c r="C29" s="50">
        <v>150504</v>
      </c>
      <c r="D29" s="50" t="s">
        <v>242</v>
      </c>
      <c r="E29" s="50" t="s">
        <v>251</v>
      </c>
      <c r="F29" s="50" t="s">
        <v>252</v>
      </c>
      <c r="G29" s="50" t="s">
        <v>246</v>
      </c>
      <c r="H29" s="50" t="s">
        <v>357</v>
      </c>
      <c r="I29" s="50" t="str">
        <f t="shared" si="0"/>
        <v>FLD_029_150504_EC_Q100_DEP_B.wor</v>
      </c>
      <c r="M29" s="50">
        <f t="shared" si="1"/>
        <v>85</v>
      </c>
      <c r="N29" s="50" t="str">
        <f>I85</f>
        <v>FLD_085_150504_FC_Q050_WSL_A.wor</v>
      </c>
      <c r="P29" s="50">
        <f t="shared" ref="P29" si="29">M29+1</f>
        <v>86</v>
      </c>
      <c r="Q29" s="50" t="str">
        <f>I86</f>
        <v>FLD_086_150504_FC_Q050_WSL_B.wor</v>
      </c>
      <c r="T29" s="50">
        <f t="shared" si="3"/>
        <v>87</v>
      </c>
      <c r="U29" s="50" t="str">
        <f>I87</f>
        <v>FLD_087_150504_FC_Q050_WSL_C.wor</v>
      </c>
    </row>
    <row r="30" spans="1:21" x14ac:dyDescent="0.3">
      <c r="A30" s="50" t="s">
        <v>191</v>
      </c>
      <c r="B30" s="51" t="s">
        <v>221</v>
      </c>
      <c r="C30" s="50">
        <v>150504</v>
      </c>
      <c r="D30" s="50" t="s">
        <v>242</v>
      </c>
      <c r="E30" s="50" t="s">
        <v>251</v>
      </c>
      <c r="F30" s="50" t="s">
        <v>252</v>
      </c>
      <c r="G30" s="50" t="s">
        <v>247</v>
      </c>
      <c r="H30" s="50" t="s">
        <v>357</v>
      </c>
      <c r="I30" s="50" t="str">
        <f t="shared" si="0"/>
        <v>FLD_030_150504_EC_Q100_DEP_C.wor</v>
      </c>
      <c r="M30" s="50">
        <f t="shared" si="1"/>
        <v>88</v>
      </c>
      <c r="N30" s="50" t="str">
        <f>I88</f>
        <v>FLD_088_150504_FC_Q100_WSL_A.wor</v>
      </c>
      <c r="P30" s="50">
        <f t="shared" ref="P30" si="30">P29+3</f>
        <v>89</v>
      </c>
      <c r="Q30" s="50" t="str">
        <f>I89</f>
        <v>FLD_089_150504_FC_Q100_WSL_B.wor</v>
      </c>
      <c r="T30" s="50">
        <f t="shared" si="3"/>
        <v>90</v>
      </c>
      <c r="U30" s="50" t="str">
        <f>I90</f>
        <v>FLD_090_150504_FC_Q100_WSL_C.wor</v>
      </c>
    </row>
    <row r="31" spans="1:21" x14ac:dyDescent="0.3">
      <c r="A31" s="50" t="s">
        <v>191</v>
      </c>
      <c r="B31" s="51" t="s">
        <v>222</v>
      </c>
      <c r="C31" s="50">
        <v>150504</v>
      </c>
      <c r="D31" s="50" t="s">
        <v>242</v>
      </c>
      <c r="E31" s="50" t="s">
        <v>243</v>
      </c>
      <c r="F31" s="50" t="s">
        <v>253</v>
      </c>
      <c r="G31" s="50" t="s">
        <v>245</v>
      </c>
      <c r="H31" s="50" t="s">
        <v>357</v>
      </c>
      <c r="I31" s="50" t="str">
        <f t="shared" si="0"/>
        <v>FLD_031_150504_EC_Q001_VEL_A.wor</v>
      </c>
      <c r="M31" s="50">
        <f t="shared" si="1"/>
        <v>91</v>
      </c>
      <c r="N31" s="50" t="str">
        <f>I91</f>
        <v>FLD_091_150504_FC_Q001_DEP_A.wor</v>
      </c>
      <c r="P31" s="50">
        <f t="shared" ref="P31" si="31">M31+1</f>
        <v>92</v>
      </c>
      <c r="Q31" s="50" t="str">
        <f>I92</f>
        <v>FLD_092_150504_FC_Q001_DEP_B.wor</v>
      </c>
      <c r="T31" s="50">
        <f t="shared" si="3"/>
        <v>93</v>
      </c>
      <c r="U31" s="50" t="str">
        <f>I93</f>
        <v>FLD_093_150504_FC_Q001_DEP_C.wor</v>
      </c>
    </row>
    <row r="32" spans="1:21" x14ac:dyDescent="0.3">
      <c r="A32" s="50" t="s">
        <v>191</v>
      </c>
      <c r="B32" s="51" t="s">
        <v>223</v>
      </c>
      <c r="C32" s="50">
        <v>150504</v>
      </c>
      <c r="D32" s="50" t="s">
        <v>242</v>
      </c>
      <c r="E32" s="50" t="s">
        <v>243</v>
      </c>
      <c r="F32" s="50" t="s">
        <v>253</v>
      </c>
      <c r="G32" s="50" t="s">
        <v>246</v>
      </c>
      <c r="H32" s="50" t="s">
        <v>357</v>
      </c>
      <c r="I32" s="50" t="str">
        <f t="shared" si="0"/>
        <v>FLD_032_150504_EC_Q001_VEL_B.wor</v>
      </c>
      <c r="M32" s="50">
        <f t="shared" si="1"/>
        <v>94</v>
      </c>
      <c r="N32" s="50" t="str">
        <f>I94</f>
        <v>FLD_094_150504_FC_Q005_DEP_A.wor</v>
      </c>
      <c r="P32" s="50">
        <f t="shared" ref="P32" si="32">P31+3</f>
        <v>95</v>
      </c>
      <c r="Q32" s="50" t="str">
        <f>I95</f>
        <v>FLD_095_150504_FC_Q005_DEP_B.wor</v>
      </c>
      <c r="T32" s="50">
        <f t="shared" si="3"/>
        <v>96</v>
      </c>
      <c r="U32" s="50" t="str">
        <f>I96</f>
        <v>FLD_096_150504_FC_Q005_DEP_C.wor</v>
      </c>
    </row>
    <row r="33" spans="1:21" x14ac:dyDescent="0.3">
      <c r="A33" s="50" t="s">
        <v>191</v>
      </c>
      <c r="B33" s="51" t="s">
        <v>224</v>
      </c>
      <c r="C33" s="50">
        <v>150504</v>
      </c>
      <c r="D33" s="50" t="s">
        <v>242</v>
      </c>
      <c r="E33" s="50" t="s">
        <v>243</v>
      </c>
      <c r="F33" s="50" t="s">
        <v>253</v>
      </c>
      <c r="G33" s="50" t="s">
        <v>247</v>
      </c>
      <c r="H33" s="50" t="s">
        <v>357</v>
      </c>
      <c r="I33" s="50" t="str">
        <f t="shared" si="0"/>
        <v>FLD_033_150504_EC_Q001_VEL_C.wor</v>
      </c>
      <c r="M33" s="50">
        <f t="shared" si="1"/>
        <v>97</v>
      </c>
      <c r="N33" s="50" t="str">
        <f>I97</f>
        <v>FLD_097_150504_FC_Q010_DEP_A.wor</v>
      </c>
      <c r="P33" s="50">
        <f t="shared" ref="P33" si="33">M33+1</f>
        <v>98</v>
      </c>
      <c r="Q33" s="50" t="str">
        <f>I98</f>
        <v>FLD_098_150504_FC_Q010_DEP_B.wor</v>
      </c>
      <c r="T33" s="50">
        <f t="shared" si="3"/>
        <v>99</v>
      </c>
      <c r="U33" s="50" t="str">
        <f>I99</f>
        <v>FLD_099_150504_FC_Q010_DEP_C.wor</v>
      </c>
    </row>
    <row r="34" spans="1:21" x14ac:dyDescent="0.3">
      <c r="A34" s="50" t="s">
        <v>191</v>
      </c>
      <c r="B34" s="51" t="s">
        <v>225</v>
      </c>
      <c r="C34" s="50">
        <v>150504</v>
      </c>
      <c r="D34" s="50" t="s">
        <v>242</v>
      </c>
      <c r="E34" s="50" t="s">
        <v>248</v>
      </c>
      <c r="F34" s="50" t="s">
        <v>253</v>
      </c>
      <c r="G34" s="50" t="s">
        <v>245</v>
      </c>
      <c r="H34" s="50" t="s">
        <v>357</v>
      </c>
      <c r="I34" s="50" t="str">
        <f t="shared" si="0"/>
        <v>FLD_034_150504_EC_Q005_VEL_A.wor</v>
      </c>
      <c r="M34" s="50">
        <f t="shared" si="1"/>
        <v>100</v>
      </c>
      <c r="N34" s="50" t="str">
        <f>I100</f>
        <v>FLD_100_150504_FC_Q050_DEP_A.wor</v>
      </c>
      <c r="P34" s="50">
        <f t="shared" ref="P34" si="34">P33+3</f>
        <v>101</v>
      </c>
      <c r="Q34" s="50" t="str">
        <f>I101</f>
        <v>FLD_101_150504_FC_Q050_DEP_B.wor</v>
      </c>
      <c r="T34" s="50">
        <f t="shared" si="3"/>
        <v>102</v>
      </c>
      <c r="U34" s="50" t="str">
        <f>I102</f>
        <v>FLD_102_150504_FC_Q050_DEP_C.wor</v>
      </c>
    </row>
    <row r="35" spans="1:21" x14ac:dyDescent="0.3">
      <c r="A35" s="50" t="s">
        <v>191</v>
      </c>
      <c r="B35" s="51" t="s">
        <v>226</v>
      </c>
      <c r="C35" s="50">
        <v>150504</v>
      </c>
      <c r="D35" s="50" t="s">
        <v>242</v>
      </c>
      <c r="E35" s="50" t="s">
        <v>248</v>
      </c>
      <c r="F35" s="50" t="s">
        <v>253</v>
      </c>
      <c r="G35" s="50" t="s">
        <v>246</v>
      </c>
      <c r="H35" s="50" t="s">
        <v>357</v>
      </c>
      <c r="I35" s="50" t="str">
        <f t="shared" si="0"/>
        <v>FLD_035_150504_EC_Q005_VEL_B.wor</v>
      </c>
      <c r="M35" s="50">
        <f t="shared" si="1"/>
        <v>103</v>
      </c>
      <c r="N35" s="50" t="str">
        <f>I103</f>
        <v>FLD_103_150504_FC_Q100_DEP_A.wor</v>
      </c>
      <c r="P35" s="50">
        <f t="shared" ref="P35" si="35">M35+1</f>
        <v>104</v>
      </c>
      <c r="Q35" s="50" t="str">
        <f>I104</f>
        <v>FLD_104_150504_FC_Q100_DEP_B.wor</v>
      </c>
      <c r="T35" s="50">
        <f t="shared" si="3"/>
        <v>105</v>
      </c>
      <c r="U35" s="50" t="str">
        <f>I105</f>
        <v>FLD_105_150504_FC_Q100_DEP_C.wor</v>
      </c>
    </row>
    <row r="36" spans="1:21" x14ac:dyDescent="0.3">
      <c r="A36" s="50" t="s">
        <v>191</v>
      </c>
      <c r="B36" s="51" t="s">
        <v>227</v>
      </c>
      <c r="C36" s="50">
        <v>150504</v>
      </c>
      <c r="D36" s="50" t="s">
        <v>242</v>
      </c>
      <c r="E36" s="50" t="s">
        <v>248</v>
      </c>
      <c r="F36" s="50" t="s">
        <v>253</v>
      </c>
      <c r="G36" s="50" t="s">
        <v>247</v>
      </c>
      <c r="H36" s="50" t="s">
        <v>357</v>
      </c>
      <c r="I36" s="50" t="str">
        <f t="shared" si="0"/>
        <v>FLD_036_150504_EC_Q005_VEL_C.wor</v>
      </c>
      <c r="M36" s="50">
        <f t="shared" si="1"/>
        <v>106</v>
      </c>
      <c r="N36" s="50" t="str">
        <f>I106</f>
        <v>FLD_106_150504_FC_Q001_VEL_A.wor</v>
      </c>
      <c r="P36" s="50">
        <f t="shared" ref="P36" si="36">P35+3</f>
        <v>107</v>
      </c>
      <c r="Q36" s="50" t="str">
        <f>I107</f>
        <v>FLD_107_150504_FC_Q001_VEL_B.wor</v>
      </c>
      <c r="T36" s="50">
        <f t="shared" si="3"/>
        <v>108</v>
      </c>
      <c r="U36" s="50" t="str">
        <f>I108</f>
        <v>FLD_108_150504_FC_Q001_VEL_C.wor</v>
      </c>
    </row>
    <row r="37" spans="1:21" x14ac:dyDescent="0.3">
      <c r="A37" s="50" t="s">
        <v>191</v>
      </c>
      <c r="B37" s="51" t="s">
        <v>228</v>
      </c>
      <c r="C37" s="50">
        <v>150504</v>
      </c>
      <c r="D37" s="50" t="s">
        <v>242</v>
      </c>
      <c r="E37" s="50" t="s">
        <v>249</v>
      </c>
      <c r="F37" s="50" t="s">
        <v>253</v>
      </c>
      <c r="G37" s="50" t="s">
        <v>245</v>
      </c>
      <c r="H37" s="50" t="s">
        <v>357</v>
      </c>
      <c r="I37" s="50" t="str">
        <f t="shared" si="0"/>
        <v>FLD_037_150504_EC_Q010_VEL_A.wor</v>
      </c>
      <c r="M37" s="50">
        <f t="shared" si="1"/>
        <v>109</v>
      </c>
      <c r="N37" s="50" t="str">
        <f>I109</f>
        <v>FLD_109_150504_FC_Q005_VEL_A.wor</v>
      </c>
      <c r="P37" s="50">
        <f t="shared" ref="P37" si="37">M37+1</f>
        <v>110</v>
      </c>
      <c r="Q37" s="50" t="str">
        <f>I110</f>
        <v>FLD_110_150504_FC_Q005_VEL_B.wor</v>
      </c>
      <c r="T37" s="50">
        <f t="shared" si="3"/>
        <v>111</v>
      </c>
      <c r="U37" s="50" t="str">
        <f>I111</f>
        <v>FLD_111_150504_FC_Q005_VEL_C.wor</v>
      </c>
    </row>
    <row r="38" spans="1:21" x14ac:dyDescent="0.3">
      <c r="A38" s="50" t="s">
        <v>191</v>
      </c>
      <c r="B38" s="51" t="s">
        <v>229</v>
      </c>
      <c r="C38" s="50">
        <v>150504</v>
      </c>
      <c r="D38" s="50" t="s">
        <v>242</v>
      </c>
      <c r="E38" s="50" t="s">
        <v>249</v>
      </c>
      <c r="F38" s="50" t="s">
        <v>253</v>
      </c>
      <c r="G38" s="50" t="s">
        <v>246</v>
      </c>
      <c r="H38" s="50" t="s">
        <v>357</v>
      </c>
      <c r="I38" s="50" t="str">
        <f t="shared" si="0"/>
        <v>FLD_038_150504_EC_Q010_VEL_B.wor</v>
      </c>
      <c r="M38" s="50">
        <f t="shared" si="1"/>
        <v>112</v>
      </c>
      <c r="N38" s="50" t="str">
        <f>I112</f>
        <v>FLD_112_150504_FC_Q010_VEL_A.wor</v>
      </c>
      <c r="P38" s="50">
        <f t="shared" ref="P38" si="38">P37+3</f>
        <v>113</v>
      </c>
      <c r="Q38" s="50" t="str">
        <f>I113</f>
        <v>FLD_113_150504_FC_Q010_VEL_B.wor</v>
      </c>
      <c r="T38" s="50">
        <f t="shared" si="3"/>
        <v>114</v>
      </c>
      <c r="U38" s="50" t="str">
        <f>I114</f>
        <v>FLD_114_150504_FC_Q010_VEL_C.wor</v>
      </c>
    </row>
    <row r="39" spans="1:21" x14ac:dyDescent="0.3">
      <c r="A39" s="50" t="s">
        <v>191</v>
      </c>
      <c r="B39" s="51" t="s">
        <v>230</v>
      </c>
      <c r="C39" s="50">
        <v>150504</v>
      </c>
      <c r="D39" s="50" t="s">
        <v>242</v>
      </c>
      <c r="E39" s="50" t="s">
        <v>249</v>
      </c>
      <c r="F39" s="50" t="s">
        <v>253</v>
      </c>
      <c r="G39" s="50" t="s">
        <v>247</v>
      </c>
      <c r="H39" s="50" t="s">
        <v>357</v>
      </c>
      <c r="I39" s="50" t="str">
        <f t="shared" si="0"/>
        <v>FLD_039_150504_EC_Q010_VEL_C.wor</v>
      </c>
      <c r="M39" s="50">
        <f t="shared" si="1"/>
        <v>115</v>
      </c>
      <c r="N39" s="50" t="str">
        <f>I115</f>
        <v>FLD_115_150504_FC_Q050_VEL_A.wor</v>
      </c>
      <c r="P39" s="50">
        <f t="shared" ref="P39" si="39">M39+1</f>
        <v>116</v>
      </c>
      <c r="Q39" s="50" t="str">
        <f>I116</f>
        <v>FLD_116_150504_FC_Q050_VEL_B.wor</v>
      </c>
      <c r="T39" s="50">
        <f t="shared" si="3"/>
        <v>117</v>
      </c>
      <c r="U39" s="50" t="str">
        <f>I117</f>
        <v>FLD_117_150504_FC_Q050_VEL_C.wor</v>
      </c>
    </row>
    <row r="40" spans="1:21" x14ac:dyDescent="0.3">
      <c r="A40" s="50" t="s">
        <v>191</v>
      </c>
      <c r="B40" s="51" t="s">
        <v>231</v>
      </c>
      <c r="C40" s="50">
        <v>150504</v>
      </c>
      <c r="D40" s="50" t="s">
        <v>242</v>
      </c>
      <c r="E40" s="50" t="s">
        <v>250</v>
      </c>
      <c r="F40" s="50" t="s">
        <v>253</v>
      </c>
      <c r="G40" s="50" t="s">
        <v>245</v>
      </c>
      <c r="H40" s="50" t="s">
        <v>357</v>
      </c>
      <c r="I40" s="50" t="str">
        <f t="shared" si="0"/>
        <v>FLD_040_150504_EC_Q050_VEL_A.wor</v>
      </c>
      <c r="M40" s="50">
        <f t="shared" si="1"/>
        <v>118</v>
      </c>
      <c r="N40" s="50" t="str">
        <f>I118</f>
        <v>FLD_118_150504_FC_Q100_VEL_A.wor</v>
      </c>
      <c r="P40" s="50">
        <f t="shared" ref="P40" si="40">P39+3</f>
        <v>119</v>
      </c>
      <c r="Q40" s="50" t="str">
        <f>I119</f>
        <v>FLD_119_150504_FC_Q100_VEL_B.wor</v>
      </c>
      <c r="T40" s="50">
        <f t="shared" si="3"/>
        <v>120</v>
      </c>
      <c r="U40" s="50" t="str">
        <f>I120</f>
        <v>FLD_120_150504_FC_Q100_VEL_C.wor</v>
      </c>
    </row>
    <row r="41" spans="1:21" x14ac:dyDescent="0.3">
      <c r="A41" s="50" t="s">
        <v>191</v>
      </c>
      <c r="B41" s="51" t="s">
        <v>232</v>
      </c>
      <c r="C41" s="50">
        <v>150504</v>
      </c>
      <c r="D41" s="50" t="s">
        <v>242</v>
      </c>
      <c r="E41" s="50" t="s">
        <v>250</v>
      </c>
      <c r="F41" s="50" t="s">
        <v>253</v>
      </c>
      <c r="G41" s="50" t="s">
        <v>246</v>
      </c>
      <c r="H41" s="50" t="s">
        <v>357</v>
      </c>
      <c r="I41" s="50" t="str">
        <f t="shared" si="0"/>
        <v>FLD_041_150504_EC_Q050_VEL_B.wor</v>
      </c>
      <c r="M41" s="50">
        <f t="shared" si="1"/>
        <v>121</v>
      </c>
      <c r="N41" s="50" t="str">
        <f>I121</f>
        <v>FLD_121_150504_FC_Q001_VxD_A.wor</v>
      </c>
      <c r="P41" s="50">
        <f t="shared" ref="P41" si="41">M41+1</f>
        <v>122</v>
      </c>
      <c r="Q41" s="50" t="str">
        <f>I122</f>
        <v>FLD_122_150504_FC_Q001_VxD_B.wor</v>
      </c>
      <c r="T41" s="50">
        <f t="shared" si="3"/>
        <v>123</v>
      </c>
      <c r="U41" s="50" t="str">
        <f>I123</f>
        <v>FLD_123_150504_FC_Q001_VxD_C.wor</v>
      </c>
    </row>
    <row r="42" spans="1:21" x14ac:dyDescent="0.3">
      <c r="A42" s="50" t="s">
        <v>191</v>
      </c>
      <c r="B42" s="51" t="s">
        <v>233</v>
      </c>
      <c r="C42" s="50">
        <v>150504</v>
      </c>
      <c r="D42" s="50" t="s">
        <v>242</v>
      </c>
      <c r="E42" s="50" t="s">
        <v>250</v>
      </c>
      <c r="F42" s="50" t="s">
        <v>253</v>
      </c>
      <c r="G42" s="50" t="s">
        <v>247</v>
      </c>
      <c r="H42" s="50" t="s">
        <v>357</v>
      </c>
      <c r="I42" s="50" t="str">
        <f t="shared" si="0"/>
        <v>FLD_042_150504_EC_Q050_VEL_C.wor</v>
      </c>
      <c r="M42" s="50">
        <f t="shared" si="1"/>
        <v>124</v>
      </c>
      <c r="N42" s="50" t="str">
        <f>I124</f>
        <v>FLD_124_150504_FC_Q005_VxD_A.wor</v>
      </c>
      <c r="P42" s="50">
        <f t="shared" ref="P42" si="42">P41+3</f>
        <v>125</v>
      </c>
      <c r="Q42" s="50" t="str">
        <f>I125</f>
        <v>FLD_125_150504_FC_Q005_VxD_B.wor</v>
      </c>
      <c r="T42" s="50">
        <f t="shared" si="3"/>
        <v>126</v>
      </c>
      <c r="U42" s="50" t="str">
        <f>I126</f>
        <v>FLD_126_150504_FC_Q005_VxD_C.wor</v>
      </c>
    </row>
    <row r="43" spans="1:21" x14ac:dyDescent="0.3">
      <c r="A43" s="50" t="s">
        <v>191</v>
      </c>
      <c r="B43" s="51" t="s">
        <v>234</v>
      </c>
      <c r="C43" s="50">
        <v>150504</v>
      </c>
      <c r="D43" s="50" t="s">
        <v>242</v>
      </c>
      <c r="E43" s="50" t="s">
        <v>251</v>
      </c>
      <c r="F43" s="50" t="s">
        <v>253</v>
      </c>
      <c r="G43" s="50" t="s">
        <v>245</v>
      </c>
      <c r="H43" s="50" t="s">
        <v>357</v>
      </c>
      <c r="I43" s="50" t="str">
        <f t="shared" si="0"/>
        <v>FLD_043_150504_EC_Q100_VEL_A.wor</v>
      </c>
      <c r="M43" s="50">
        <f t="shared" si="1"/>
        <v>127</v>
      </c>
      <c r="N43" s="50" t="str">
        <f>I127</f>
        <v>FLD_127_150504_FC_Q010_VxD_A.wor</v>
      </c>
      <c r="P43" s="50">
        <f t="shared" ref="P43" si="43">M43+1</f>
        <v>128</v>
      </c>
      <c r="Q43" s="50" t="str">
        <f>I128</f>
        <v>FLD_128_150504_FC_Q010_VxD_B.wor</v>
      </c>
      <c r="T43" s="50">
        <f t="shared" si="3"/>
        <v>129</v>
      </c>
      <c r="U43" s="50" t="str">
        <f>I129</f>
        <v>FLD_129_150504_FC_Q010_VxD_C.wor</v>
      </c>
    </row>
    <row r="44" spans="1:21" x14ac:dyDescent="0.3">
      <c r="A44" s="50" t="s">
        <v>191</v>
      </c>
      <c r="B44" s="51" t="s">
        <v>235</v>
      </c>
      <c r="C44" s="50">
        <v>150504</v>
      </c>
      <c r="D44" s="50" t="s">
        <v>242</v>
      </c>
      <c r="E44" s="50" t="s">
        <v>251</v>
      </c>
      <c r="F44" s="50" t="s">
        <v>253</v>
      </c>
      <c r="G44" s="50" t="s">
        <v>246</v>
      </c>
      <c r="H44" s="50" t="s">
        <v>357</v>
      </c>
      <c r="I44" s="50" t="str">
        <f t="shared" si="0"/>
        <v>FLD_044_150504_EC_Q100_VEL_B.wor</v>
      </c>
      <c r="M44" s="50">
        <f t="shared" si="1"/>
        <v>130</v>
      </c>
      <c r="N44" s="50" t="str">
        <f>I130</f>
        <v>FLD_130_150504_FC_Q050_VxD_A.wor</v>
      </c>
      <c r="P44" s="50">
        <f t="shared" ref="P44" si="44">P43+3</f>
        <v>131</v>
      </c>
      <c r="Q44" s="50" t="str">
        <f>I131</f>
        <v>FLD_131_150504_FC_Q050_VxD_B.wor</v>
      </c>
      <c r="T44" s="50">
        <f t="shared" si="3"/>
        <v>132</v>
      </c>
      <c r="U44" s="50" t="str">
        <f>I132</f>
        <v>FLD_132_150504_FC_Q050_VxD_C.wor</v>
      </c>
    </row>
    <row r="45" spans="1:21" x14ac:dyDescent="0.3">
      <c r="A45" s="50" t="s">
        <v>191</v>
      </c>
      <c r="B45" s="51" t="s">
        <v>236</v>
      </c>
      <c r="C45" s="50">
        <v>150504</v>
      </c>
      <c r="D45" s="50" t="s">
        <v>242</v>
      </c>
      <c r="E45" s="50" t="s">
        <v>251</v>
      </c>
      <c r="F45" s="50" t="s">
        <v>253</v>
      </c>
      <c r="G45" s="50" t="s">
        <v>247</v>
      </c>
      <c r="H45" s="50" t="s">
        <v>357</v>
      </c>
      <c r="I45" s="50" t="str">
        <f t="shared" si="0"/>
        <v>FLD_045_150504_EC_Q100_VEL_C.wor</v>
      </c>
      <c r="M45" s="50">
        <f t="shared" si="1"/>
        <v>133</v>
      </c>
      <c r="N45" s="50" t="str">
        <f>I133</f>
        <v>FLD_133_150504_FC_Q100_VxD_A.wor</v>
      </c>
      <c r="P45" s="50">
        <f t="shared" ref="P45" si="45">M45+1</f>
        <v>134</v>
      </c>
      <c r="Q45" s="50" t="str">
        <f>I134</f>
        <v>FLD_134_150504_FC_Q100_VxD_B.wor</v>
      </c>
      <c r="T45" s="50">
        <f t="shared" si="3"/>
        <v>135</v>
      </c>
      <c r="U45" s="50" t="str">
        <f>I135</f>
        <v>FLD_135_150504_FC_Q100_VxD_C.wor</v>
      </c>
    </row>
    <row r="46" spans="1:21" x14ac:dyDescent="0.3">
      <c r="A46" s="50" t="s">
        <v>191</v>
      </c>
      <c r="B46" s="51" t="s">
        <v>237</v>
      </c>
      <c r="C46" s="50">
        <v>150504</v>
      </c>
      <c r="D46" s="50" t="s">
        <v>242</v>
      </c>
      <c r="E46" s="50" t="s">
        <v>243</v>
      </c>
      <c r="F46" s="50" t="s">
        <v>254</v>
      </c>
      <c r="G46" s="50" t="s">
        <v>245</v>
      </c>
      <c r="H46" s="50" t="s">
        <v>357</v>
      </c>
      <c r="I46" s="50" t="str">
        <f t="shared" si="0"/>
        <v>FLD_046_150504_EC_Q001_VxD_A.wor</v>
      </c>
      <c r="M46" s="50">
        <f t="shared" si="1"/>
        <v>136</v>
      </c>
      <c r="N46" s="50" t="str">
        <f>I136</f>
        <v>FLD_136_150504_FC_Q001_HAZ_A.wor</v>
      </c>
      <c r="P46" s="50">
        <f t="shared" ref="P46" si="46">P45+3</f>
        <v>137</v>
      </c>
      <c r="Q46" s="50" t="str">
        <f>I137</f>
        <v>FLD_137_150504_FC_Q001_HAZ_B.wor</v>
      </c>
      <c r="T46" s="50">
        <f t="shared" si="3"/>
        <v>138</v>
      </c>
      <c r="U46" s="50" t="str">
        <f>I138</f>
        <v>FLD_138_150504_FC_Q001_HAZ_C.wor</v>
      </c>
    </row>
    <row r="47" spans="1:21" x14ac:dyDescent="0.3">
      <c r="A47" s="50" t="s">
        <v>191</v>
      </c>
      <c r="B47" s="51" t="s">
        <v>238</v>
      </c>
      <c r="C47" s="50">
        <v>150504</v>
      </c>
      <c r="D47" s="50" t="s">
        <v>242</v>
      </c>
      <c r="E47" s="50" t="s">
        <v>243</v>
      </c>
      <c r="F47" s="50" t="s">
        <v>254</v>
      </c>
      <c r="G47" s="50" t="s">
        <v>246</v>
      </c>
      <c r="H47" s="50" t="s">
        <v>357</v>
      </c>
      <c r="I47" s="50" t="str">
        <f t="shared" si="0"/>
        <v>FLD_047_150504_EC_Q001_VxD_B.wor</v>
      </c>
      <c r="M47" s="50">
        <f t="shared" si="1"/>
        <v>139</v>
      </c>
      <c r="N47" s="50" t="str">
        <f>I139</f>
        <v>FLD_139_150504_FC_Q005_HAZ_A.wor</v>
      </c>
      <c r="P47" s="50">
        <f t="shared" ref="P47" si="47">M47+1</f>
        <v>140</v>
      </c>
      <c r="Q47" s="50" t="str">
        <f>I140</f>
        <v>FLD_140_150504_FC_Q005_HAZ_B.wor</v>
      </c>
      <c r="T47" s="50">
        <f t="shared" si="3"/>
        <v>141</v>
      </c>
      <c r="U47" s="50" t="str">
        <f>I141</f>
        <v>FLD_141_150504_FC_Q005_HAZ_C.wor</v>
      </c>
    </row>
    <row r="48" spans="1:21" x14ac:dyDescent="0.3">
      <c r="A48" s="50" t="s">
        <v>191</v>
      </c>
      <c r="B48" s="51" t="s">
        <v>239</v>
      </c>
      <c r="C48" s="50">
        <v>150504</v>
      </c>
      <c r="D48" s="50" t="s">
        <v>242</v>
      </c>
      <c r="E48" s="50" t="s">
        <v>243</v>
      </c>
      <c r="F48" s="50" t="s">
        <v>254</v>
      </c>
      <c r="G48" s="50" t="s">
        <v>247</v>
      </c>
      <c r="H48" s="50" t="s">
        <v>357</v>
      </c>
      <c r="I48" s="50" t="str">
        <f t="shared" si="0"/>
        <v>FLD_048_150504_EC_Q001_VxD_C.wor</v>
      </c>
      <c r="M48" s="50">
        <f t="shared" si="1"/>
        <v>142</v>
      </c>
      <c r="N48" s="50" t="str">
        <f>I142</f>
        <v>FLD_142_150504_FC_Q010_HAZ_A.wor</v>
      </c>
      <c r="P48" s="50">
        <f t="shared" ref="P48" si="48">P47+3</f>
        <v>143</v>
      </c>
      <c r="Q48" s="50" t="str">
        <f>I143</f>
        <v>FLD_143_150504_FC_Q010_HAZ_B.wor</v>
      </c>
      <c r="T48" s="50">
        <f t="shared" si="3"/>
        <v>144</v>
      </c>
      <c r="U48" s="50" t="str">
        <f>I144</f>
        <v>FLD_144_150504_FC_Q010_HAZ_C.wor</v>
      </c>
    </row>
    <row r="49" spans="1:21" x14ac:dyDescent="0.3">
      <c r="A49" s="50" t="s">
        <v>191</v>
      </c>
      <c r="B49" s="51" t="s">
        <v>240</v>
      </c>
      <c r="C49" s="50">
        <v>150504</v>
      </c>
      <c r="D49" s="50" t="s">
        <v>242</v>
      </c>
      <c r="E49" s="50" t="s">
        <v>248</v>
      </c>
      <c r="F49" s="50" t="s">
        <v>254</v>
      </c>
      <c r="G49" s="50" t="s">
        <v>245</v>
      </c>
      <c r="H49" s="50" t="s">
        <v>357</v>
      </c>
      <c r="I49" s="50" t="str">
        <f t="shared" si="0"/>
        <v>FLD_049_150504_EC_Q005_VxD_A.wor</v>
      </c>
      <c r="M49" s="50">
        <f t="shared" si="1"/>
        <v>145</v>
      </c>
      <c r="N49" s="50" t="str">
        <f>I145</f>
        <v>FLD_145_150504_FC_Q050_HAZ_A.wor</v>
      </c>
      <c r="P49" s="50">
        <f t="shared" ref="P49" si="49">M49+1</f>
        <v>146</v>
      </c>
      <c r="Q49" s="50" t="str">
        <f>I146</f>
        <v>FLD_146_150504_FC_Q050_HAZ_B.wor</v>
      </c>
      <c r="T49" s="50">
        <f t="shared" si="3"/>
        <v>147</v>
      </c>
      <c r="U49" s="50" t="str">
        <f>I147</f>
        <v>FLD_147_150504_FC_Q050_HAZ_C.wor</v>
      </c>
    </row>
    <row r="50" spans="1:21" x14ac:dyDescent="0.3">
      <c r="A50" s="50" t="s">
        <v>191</v>
      </c>
      <c r="B50" s="51" t="s">
        <v>241</v>
      </c>
      <c r="C50" s="50">
        <v>150504</v>
      </c>
      <c r="D50" s="50" t="s">
        <v>242</v>
      </c>
      <c r="E50" s="50" t="s">
        <v>248</v>
      </c>
      <c r="F50" s="50" t="s">
        <v>254</v>
      </c>
      <c r="G50" s="50" t="s">
        <v>246</v>
      </c>
      <c r="H50" s="50" t="s">
        <v>357</v>
      </c>
      <c r="I50" s="50" t="str">
        <f t="shared" si="0"/>
        <v>FLD_050_150504_EC_Q005_VxD_B.wor</v>
      </c>
      <c r="M50" s="50">
        <f t="shared" si="1"/>
        <v>148</v>
      </c>
      <c r="N50" s="50" t="str">
        <f>I148</f>
        <v>FLD_148_150504_FC_Q100_HAZ_A.wor</v>
      </c>
      <c r="P50" s="50">
        <f t="shared" ref="P50" si="50">P49+3</f>
        <v>149</v>
      </c>
      <c r="Q50" s="50" t="str">
        <f>I149</f>
        <v>FLD_149_150504_FC_Q100_HAZ_B.wor</v>
      </c>
      <c r="T50" s="50">
        <f t="shared" si="3"/>
        <v>150</v>
      </c>
      <c r="U50" s="50" t="str">
        <f>I150</f>
        <v>FLD_150_150504_FC_Q100_HAZ_C.wor</v>
      </c>
    </row>
    <row r="51" spans="1:21" x14ac:dyDescent="0.3">
      <c r="A51" s="50" t="s">
        <v>191</v>
      </c>
      <c r="B51" s="51" t="s">
        <v>256</v>
      </c>
      <c r="C51" s="50">
        <v>150504</v>
      </c>
      <c r="D51" s="50" t="s">
        <v>242</v>
      </c>
      <c r="E51" s="50" t="s">
        <v>248</v>
      </c>
      <c r="F51" s="50" t="s">
        <v>254</v>
      </c>
      <c r="G51" s="50" t="s">
        <v>247</v>
      </c>
      <c r="H51" s="50" t="s">
        <v>357</v>
      </c>
      <c r="I51" s="50" t="str">
        <f t="shared" si="0"/>
        <v>FLD_051_150504_EC_Q005_VxD_C.wor</v>
      </c>
      <c r="M51" s="50"/>
    </row>
    <row r="52" spans="1:21" x14ac:dyDescent="0.3">
      <c r="A52" s="50" t="s">
        <v>191</v>
      </c>
      <c r="B52" s="51" t="s">
        <v>257</v>
      </c>
      <c r="C52" s="50">
        <v>150504</v>
      </c>
      <c r="D52" s="50" t="s">
        <v>242</v>
      </c>
      <c r="E52" s="50" t="s">
        <v>249</v>
      </c>
      <c r="F52" s="50" t="s">
        <v>254</v>
      </c>
      <c r="G52" s="50" t="s">
        <v>245</v>
      </c>
      <c r="H52" s="50" t="s">
        <v>357</v>
      </c>
      <c r="I52" s="50" t="str">
        <f t="shared" si="0"/>
        <v>FLD_052_150504_EC_Q010_VxD_A.wor</v>
      </c>
      <c r="M52" s="50"/>
    </row>
    <row r="53" spans="1:21" x14ac:dyDescent="0.3">
      <c r="A53" s="50" t="s">
        <v>191</v>
      </c>
      <c r="B53" s="51" t="s">
        <v>258</v>
      </c>
      <c r="C53" s="50">
        <v>150504</v>
      </c>
      <c r="D53" s="50" t="s">
        <v>242</v>
      </c>
      <c r="E53" s="50" t="s">
        <v>249</v>
      </c>
      <c r="F53" s="50" t="s">
        <v>254</v>
      </c>
      <c r="G53" s="50" t="s">
        <v>246</v>
      </c>
      <c r="H53" s="50" t="s">
        <v>357</v>
      </c>
      <c r="I53" s="50" t="str">
        <f t="shared" si="0"/>
        <v>FLD_053_150504_EC_Q010_VxD_B.wor</v>
      </c>
    </row>
    <row r="54" spans="1:21" x14ac:dyDescent="0.3">
      <c r="A54" s="50" t="s">
        <v>191</v>
      </c>
      <c r="B54" s="51" t="s">
        <v>259</v>
      </c>
      <c r="C54" s="50">
        <v>150504</v>
      </c>
      <c r="D54" s="50" t="s">
        <v>242</v>
      </c>
      <c r="E54" s="50" t="s">
        <v>249</v>
      </c>
      <c r="F54" s="50" t="s">
        <v>254</v>
      </c>
      <c r="G54" s="50" t="s">
        <v>247</v>
      </c>
      <c r="H54" s="50" t="s">
        <v>357</v>
      </c>
      <c r="I54" s="50" t="str">
        <f t="shared" si="0"/>
        <v>FLD_054_150504_EC_Q010_VxD_C.wor</v>
      </c>
    </row>
    <row r="55" spans="1:21" x14ac:dyDescent="0.3">
      <c r="A55" s="50" t="s">
        <v>191</v>
      </c>
      <c r="B55" s="51" t="s">
        <v>260</v>
      </c>
      <c r="C55" s="50">
        <v>150504</v>
      </c>
      <c r="D55" s="50" t="s">
        <v>242</v>
      </c>
      <c r="E55" s="50" t="s">
        <v>250</v>
      </c>
      <c r="F55" s="50" t="s">
        <v>254</v>
      </c>
      <c r="G55" s="50" t="s">
        <v>245</v>
      </c>
      <c r="H55" s="50" t="s">
        <v>357</v>
      </c>
      <c r="I55" s="50" t="str">
        <f t="shared" si="0"/>
        <v>FLD_055_150504_EC_Q050_VxD_A.wor</v>
      </c>
    </row>
    <row r="56" spans="1:21" x14ac:dyDescent="0.3">
      <c r="A56" s="50" t="s">
        <v>191</v>
      </c>
      <c r="B56" s="51" t="s">
        <v>261</v>
      </c>
      <c r="C56" s="50">
        <v>150504</v>
      </c>
      <c r="D56" s="50" t="s">
        <v>242</v>
      </c>
      <c r="E56" s="50" t="s">
        <v>250</v>
      </c>
      <c r="F56" s="50" t="s">
        <v>254</v>
      </c>
      <c r="G56" s="50" t="s">
        <v>246</v>
      </c>
      <c r="H56" s="50" t="s">
        <v>357</v>
      </c>
      <c r="I56" s="50" t="str">
        <f t="shared" si="0"/>
        <v>FLD_056_150504_EC_Q050_VxD_B.wor</v>
      </c>
    </row>
    <row r="57" spans="1:21" x14ac:dyDescent="0.3">
      <c r="A57" s="50" t="s">
        <v>191</v>
      </c>
      <c r="B57" s="51" t="s">
        <v>262</v>
      </c>
      <c r="C57" s="50">
        <v>150504</v>
      </c>
      <c r="D57" s="50" t="s">
        <v>242</v>
      </c>
      <c r="E57" s="50" t="s">
        <v>250</v>
      </c>
      <c r="F57" s="50" t="s">
        <v>254</v>
      </c>
      <c r="G57" s="50" t="s">
        <v>247</v>
      </c>
      <c r="H57" s="50" t="s">
        <v>357</v>
      </c>
      <c r="I57" s="50" t="str">
        <f t="shared" si="0"/>
        <v>FLD_057_150504_EC_Q050_VxD_C.wor</v>
      </c>
    </row>
    <row r="58" spans="1:21" x14ac:dyDescent="0.3">
      <c r="A58" s="50" t="s">
        <v>191</v>
      </c>
      <c r="B58" s="51" t="s">
        <v>263</v>
      </c>
      <c r="C58" s="50">
        <v>150504</v>
      </c>
      <c r="D58" s="50" t="s">
        <v>242</v>
      </c>
      <c r="E58" s="50" t="s">
        <v>251</v>
      </c>
      <c r="F58" s="50" t="s">
        <v>254</v>
      </c>
      <c r="G58" s="50" t="s">
        <v>245</v>
      </c>
      <c r="H58" s="50" t="s">
        <v>357</v>
      </c>
      <c r="I58" s="50" t="str">
        <f t="shared" si="0"/>
        <v>FLD_058_150504_EC_Q100_VxD_A.wor</v>
      </c>
    </row>
    <row r="59" spans="1:21" x14ac:dyDescent="0.3">
      <c r="A59" s="50" t="s">
        <v>191</v>
      </c>
      <c r="B59" s="51" t="s">
        <v>264</v>
      </c>
      <c r="C59" s="50">
        <v>150504</v>
      </c>
      <c r="D59" s="50" t="s">
        <v>242</v>
      </c>
      <c r="E59" s="50" t="s">
        <v>251</v>
      </c>
      <c r="F59" s="50" t="s">
        <v>254</v>
      </c>
      <c r="G59" s="50" t="s">
        <v>246</v>
      </c>
      <c r="H59" s="50" t="s">
        <v>357</v>
      </c>
      <c r="I59" s="50" t="str">
        <f t="shared" si="0"/>
        <v>FLD_059_150504_EC_Q100_VxD_B.wor</v>
      </c>
    </row>
    <row r="60" spans="1:21" x14ac:dyDescent="0.3">
      <c r="A60" s="50" t="s">
        <v>191</v>
      </c>
      <c r="B60" s="51" t="s">
        <v>265</v>
      </c>
      <c r="C60" s="50">
        <v>150504</v>
      </c>
      <c r="D60" s="50" t="s">
        <v>242</v>
      </c>
      <c r="E60" s="50" t="s">
        <v>251</v>
      </c>
      <c r="F60" s="50" t="s">
        <v>254</v>
      </c>
      <c r="G60" s="50" t="s">
        <v>247</v>
      </c>
      <c r="H60" s="50" t="s">
        <v>357</v>
      </c>
      <c r="I60" s="50" t="str">
        <f t="shared" si="0"/>
        <v>FLD_060_150504_EC_Q100_VxD_C.wor</v>
      </c>
    </row>
    <row r="61" spans="1:21" x14ac:dyDescent="0.3">
      <c r="A61" s="50" t="s">
        <v>191</v>
      </c>
      <c r="B61" s="51" t="s">
        <v>266</v>
      </c>
      <c r="C61" s="50">
        <v>150504</v>
      </c>
      <c r="D61" s="50" t="s">
        <v>242</v>
      </c>
      <c r="E61" s="50" t="s">
        <v>243</v>
      </c>
      <c r="F61" s="50" t="s">
        <v>255</v>
      </c>
      <c r="G61" s="50" t="s">
        <v>245</v>
      </c>
      <c r="H61" s="50" t="s">
        <v>357</v>
      </c>
      <c r="I61" s="50" t="str">
        <f t="shared" si="0"/>
        <v>FLD_061_150504_EC_Q001_HAZ_A.wor</v>
      </c>
    </row>
    <row r="62" spans="1:21" x14ac:dyDescent="0.3">
      <c r="A62" s="50" t="s">
        <v>191</v>
      </c>
      <c r="B62" s="51" t="s">
        <v>267</v>
      </c>
      <c r="C62" s="50">
        <v>150504</v>
      </c>
      <c r="D62" s="50" t="s">
        <v>242</v>
      </c>
      <c r="E62" s="50" t="s">
        <v>243</v>
      </c>
      <c r="F62" s="50" t="s">
        <v>255</v>
      </c>
      <c r="G62" s="50" t="s">
        <v>246</v>
      </c>
      <c r="H62" s="50" t="s">
        <v>357</v>
      </c>
      <c r="I62" s="50" t="str">
        <f t="shared" si="0"/>
        <v>FLD_062_150504_EC_Q001_HAZ_B.wor</v>
      </c>
    </row>
    <row r="63" spans="1:21" x14ac:dyDescent="0.3">
      <c r="A63" s="50" t="s">
        <v>191</v>
      </c>
      <c r="B63" s="51" t="s">
        <v>268</v>
      </c>
      <c r="C63" s="50">
        <v>150504</v>
      </c>
      <c r="D63" s="50" t="s">
        <v>242</v>
      </c>
      <c r="E63" s="50" t="s">
        <v>243</v>
      </c>
      <c r="F63" s="50" t="s">
        <v>255</v>
      </c>
      <c r="G63" s="50" t="s">
        <v>247</v>
      </c>
      <c r="H63" s="50" t="s">
        <v>357</v>
      </c>
      <c r="I63" s="50" t="str">
        <f t="shared" si="0"/>
        <v>FLD_063_150504_EC_Q001_HAZ_C.wor</v>
      </c>
    </row>
    <row r="64" spans="1:21" x14ac:dyDescent="0.3">
      <c r="A64" s="50" t="s">
        <v>191</v>
      </c>
      <c r="B64" s="51" t="s">
        <v>269</v>
      </c>
      <c r="C64" s="50">
        <v>150504</v>
      </c>
      <c r="D64" s="50" t="s">
        <v>242</v>
      </c>
      <c r="E64" s="50" t="s">
        <v>248</v>
      </c>
      <c r="F64" s="50" t="s">
        <v>255</v>
      </c>
      <c r="G64" s="50" t="s">
        <v>245</v>
      </c>
      <c r="H64" s="50" t="s">
        <v>357</v>
      </c>
      <c r="I64" s="50" t="str">
        <f t="shared" si="0"/>
        <v>FLD_064_150504_EC_Q005_HAZ_A.wor</v>
      </c>
    </row>
    <row r="65" spans="1:9" x14ac:dyDescent="0.3">
      <c r="A65" s="50" t="s">
        <v>191</v>
      </c>
      <c r="B65" s="51" t="s">
        <v>270</v>
      </c>
      <c r="C65" s="50">
        <v>150504</v>
      </c>
      <c r="D65" s="50" t="s">
        <v>242</v>
      </c>
      <c r="E65" s="50" t="s">
        <v>248</v>
      </c>
      <c r="F65" s="50" t="s">
        <v>255</v>
      </c>
      <c r="G65" s="50" t="s">
        <v>246</v>
      </c>
      <c r="H65" s="50" t="s">
        <v>357</v>
      </c>
      <c r="I65" s="50" t="str">
        <f t="shared" si="0"/>
        <v>FLD_065_150504_EC_Q005_HAZ_B.wor</v>
      </c>
    </row>
    <row r="66" spans="1:9" x14ac:dyDescent="0.3">
      <c r="A66" s="50" t="s">
        <v>191</v>
      </c>
      <c r="B66" s="51" t="s">
        <v>271</v>
      </c>
      <c r="C66" s="50">
        <v>150504</v>
      </c>
      <c r="D66" s="50" t="s">
        <v>242</v>
      </c>
      <c r="E66" s="50" t="s">
        <v>248</v>
      </c>
      <c r="F66" s="50" t="s">
        <v>255</v>
      </c>
      <c r="G66" s="50" t="s">
        <v>247</v>
      </c>
      <c r="H66" s="50" t="s">
        <v>357</v>
      </c>
      <c r="I66" s="50" t="str">
        <f t="shared" ref="I66:I129" si="51">CONCATENATE(A66,"_",B66,"_",C66,"_",D66,"_",E66,"_",F66,"_",G66,".",H66)</f>
        <v>FLD_066_150504_EC_Q005_HAZ_C.wor</v>
      </c>
    </row>
    <row r="67" spans="1:9" x14ac:dyDescent="0.3">
      <c r="A67" s="50" t="s">
        <v>191</v>
      </c>
      <c r="B67" s="51" t="s">
        <v>272</v>
      </c>
      <c r="C67" s="50">
        <v>150504</v>
      </c>
      <c r="D67" s="50" t="s">
        <v>242</v>
      </c>
      <c r="E67" s="50" t="s">
        <v>249</v>
      </c>
      <c r="F67" s="50" t="s">
        <v>255</v>
      </c>
      <c r="G67" s="50" t="s">
        <v>245</v>
      </c>
      <c r="H67" s="50" t="s">
        <v>357</v>
      </c>
      <c r="I67" s="50" t="str">
        <f t="shared" si="51"/>
        <v>FLD_067_150504_EC_Q010_HAZ_A.wor</v>
      </c>
    </row>
    <row r="68" spans="1:9" x14ac:dyDescent="0.3">
      <c r="A68" s="50" t="s">
        <v>191</v>
      </c>
      <c r="B68" s="51" t="s">
        <v>273</v>
      </c>
      <c r="C68" s="50">
        <v>150504</v>
      </c>
      <c r="D68" s="50" t="s">
        <v>242</v>
      </c>
      <c r="E68" s="50" t="s">
        <v>249</v>
      </c>
      <c r="F68" s="50" t="s">
        <v>255</v>
      </c>
      <c r="G68" s="50" t="s">
        <v>246</v>
      </c>
      <c r="H68" s="50" t="s">
        <v>357</v>
      </c>
      <c r="I68" s="50" t="str">
        <f t="shared" si="51"/>
        <v>FLD_068_150504_EC_Q010_HAZ_B.wor</v>
      </c>
    </row>
    <row r="69" spans="1:9" x14ac:dyDescent="0.3">
      <c r="A69" s="50" t="s">
        <v>191</v>
      </c>
      <c r="B69" s="51" t="s">
        <v>274</v>
      </c>
      <c r="C69" s="50">
        <v>150504</v>
      </c>
      <c r="D69" s="50" t="s">
        <v>242</v>
      </c>
      <c r="E69" s="50" t="s">
        <v>249</v>
      </c>
      <c r="F69" s="50" t="s">
        <v>255</v>
      </c>
      <c r="G69" s="50" t="s">
        <v>247</v>
      </c>
      <c r="H69" s="50" t="s">
        <v>357</v>
      </c>
      <c r="I69" s="50" t="str">
        <f t="shared" si="51"/>
        <v>FLD_069_150504_EC_Q010_HAZ_C.wor</v>
      </c>
    </row>
    <row r="70" spans="1:9" x14ac:dyDescent="0.3">
      <c r="A70" s="50" t="s">
        <v>191</v>
      </c>
      <c r="B70" s="51" t="s">
        <v>275</v>
      </c>
      <c r="C70" s="50">
        <v>150504</v>
      </c>
      <c r="D70" s="50" t="s">
        <v>242</v>
      </c>
      <c r="E70" s="50" t="s">
        <v>250</v>
      </c>
      <c r="F70" s="50" t="s">
        <v>255</v>
      </c>
      <c r="G70" s="50" t="s">
        <v>245</v>
      </c>
      <c r="H70" s="50" t="s">
        <v>357</v>
      </c>
      <c r="I70" s="50" t="str">
        <f t="shared" si="51"/>
        <v>FLD_070_150504_EC_Q050_HAZ_A.wor</v>
      </c>
    </row>
    <row r="71" spans="1:9" x14ac:dyDescent="0.3">
      <c r="A71" s="50" t="s">
        <v>191</v>
      </c>
      <c r="B71" s="51" t="s">
        <v>276</v>
      </c>
      <c r="C71" s="50">
        <v>150504</v>
      </c>
      <c r="D71" s="50" t="s">
        <v>242</v>
      </c>
      <c r="E71" s="50" t="s">
        <v>250</v>
      </c>
      <c r="F71" s="50" t="s">
        <v>255</v>
      </c>
      <c r="G71" s="50" t="s">
        <v>246</v>
      </c>
      <c r="H71" s="50" t="s">
        <v>357</v>
      </c>
      <c r="I71" s="50" t="str">
        <f t="shared" si="51"/>
        <v>FLD_071_150504_EC_Q050_HAZ_B.wor</v>
      </c>
    </row>
    <row r="72" spans="1:9" x14ac:dyDescent="0.3">
      <c r="A72" s="50" t="s">
        <v>191</v>
      </c>
      <c r="B72" s="51" t="s">
        <v>277</v>
      </c>
      <c r="C72" s="50">
        <v>150504</v>
      </c>
      <c r="D72" s="50" t="s">
        <v>242</v>
      </c>
      <c r="E72" s="50" t="s">
        <v>250</v>
      </c>
      <c r="F72" s="50" t="s">
        <v>255</v>
      </c>
      <c r="G72" s="50" t="s">
        <v>247</v>
      </c>
      <c r="H72" s="50" t="s">
        <v>357</v>
      </c>
      <c r="I72" s="50" t="str">
        <f t="shared" si="51"/>
        <v>FLD_072_150504_EC_Q050_HAZ_C.wor</v>
      </c>
    </row>
    <row r="73" spans="1:9" x14ac:dyDescent="0.3">
      <c r="A73" s="50" t="s">
        <v>191</v>
      </c>
      <c r="B73" s="51" t="s">
        <v>278</v>
      </c>
      <c r="C73" s="50">
        <v>150504</v>
      </c>
      <c r="D73" s="50" t="s">
        <v>242</v>
      </c>
      <c r="E73" s="50" t="s">
        <v>251</v>
      </c>
      <c r="F73" s="50" t="s">
        <v>255</v>
      </c>
      <c r="G73" s="50" t="s">
        <v>245</v>
      </c>
      <c r="H73" s="50" t="s">
        <v>357</v>
      </c>
      <c r="I73" s="50" t="str">
        <f t="shared" si="51"/>
        <v>FLD_073_150504_EC_Q100_HAZ_A.wor</v>
      </c>
    </row>
    <row r="74" spans="1:9" x14ac:dyDescent="0.3">
      <c r="A74" s="50" t="s">
        <v>191</v>
      </c>
      <c r="B74" s="51" t="s">
        <v>279</v>
      </c>
      <c r="C74" s="50">
        <v>150504</v>
      </c>
      <c r="D74" s="50" t="s">
        <v>242</v>
      </c>
      <c r="E74" s="50" t="s">
        <v>251</v>
      </c>
      <c r="F74" s="50" t="s">
        <v>255</v>
      </c>
      <c r="G74" s="50" t="s">
        <v>246</v>
      </c>
      <c r="H74" s="50" t="s">
        <v>357</v>
      </c>
      <c r="I74" s="50" t="str">
        <f t="shared" si="51"/>
        <v>FLD_074_150504_EC_Q100_HAZ_B.wor</v>
      </c>
    </row>
    <row r="75" spans="1:9" x14ac:dyDescent="0.3">
      <c r="A75" s="50" t="s">
        <v>191</v>
      </c>
      <c r="B75" s="51" t="s">
        <v>280</v>
      </c>
      <c r="C75" s="50">
        <v>150504</v>
      </c>
      <c r="D75" s="50" t="s">
        <v>242</v>
      </c>
      <c r="E75" s="50" t="s">
        <v>251</v>
      </c>
      <c r="F75" s="50" t="s">
        <v>255</v>
      </c>
      <c r="G75" s="50" t="s">
        <v>247</v>
      </c>
      <c r="H75" s="50" t="s">
        <v>357</v>
      </c>
      <c r="I75" s="50" t="str">
        <f t="shared" si="51"/>
        <v>FLD_075_150504_EC_Q100_HAZ_C.wor</v>
      </c>
    </row>
    <row r="76" spans="1:9" x14ac:dyDescent="0.3">
      <c r="A76" s="50" t="s">
        <v>191</v>
      </c>
      <c r="B76" s="51" t="s">
        <v>282</v>
      </c>
      <c r="C76" s="50">
        <v>150504</v>
      </c>
      <c r="D76" t="s">
        <v>281</v>
      </c>
      <c r="E76" s="50" t="s">
        <v>243</v>
      </c>
      <c r="F76" s="50" t="s">
        <v>244</v>
      </c>
      <c r="G76" s="50" t="s">
        <v>245</v>
      </c>
      <c r="H76" s="50" t="s">
        <v>357</v>
      </c>
      <c r="I76" s="50" t="str">
        <f t="shared" si="51"/>
        <v>FLD_076_150504_FC_Q001_WSL_A.wor</v>
      </c>
    </row>
    <row r="77" spans="1:9" x14ac:dyDescent="0.3">
      <c r="A77" s="50" t="s">
        <v>191</v>
      </c>
      <c r="B77" s="51" t="s">
        <v>283</v>
      </c>
      <c r="C77" s="50">
        <v>150504</v>
      </c>
      <c r="D77" s="50" t="s">
        <v>281</v>
      </c>
      <c r="E77" s="50" t="s">
        <v>243</v>
      </c>
      <c r="F77" s="50" t="s">
        <v>244</v>
      </c>
      <c r="G77" s="50" t="s">
        <v>246</v>
      </c>
      <c r="H77" s="50" t="s">
        <v>357</v>
      </c>
      <c r="I77" s="50" t="str">
        <f t="shared" si="51"/>
        <v>FLD_077_150504_FC_Q001_WSL_B.wor</v>
      </c>
    </row>
    <row r="78" spans="1:9" x14ac:dyDescent="0.3">
      <c r="A78" s="50" t="s">
        <v>191</v>
      </c>
      <c r="B78" s="51" t="s">
        <v>284</v>
      </c>
      <c r="C78" s="50">
        <v>150504</v>
      </c>
      <c r="D78" s="50" t="s">
        <v>281</v>
      </c>
      <c r="E78" s="50" t="s">
        <v>243</v>
      </c>
      <c r="F78" s="50" t="s">
        <v>244</v>
      </c>
      <c r="G78" s="50" t="s">
        <v>247</v>
      </c>
      <c r="H78" s="50" t="s">
        <v>357</v>
      </c>
      <c r="I78" s="50" t="str">
        <f t="shared" si="51"/>
        <v>FLD_078_150504_FC_Q001_WSL_C.wor</v>
      </c>
    </row>
    <row r="79" spans="1:9" x14ac:dyDescent="0.3">
      <c r="A79" s="50" t="s">
        <v>191</v>
      </c>
      <c r="B79" s="51" t="s">
        <v>285</v>
      </c>
      <c r="C79" s="50">
        <v>150504</v>
      </c>
      <c r="D79" s="50" t="s">
        <v>281</v>
      </c>
      <c r="E79" s="50" t="s">
        <v>248</v>
      </c>
      <c r="F79" s="50" t="s">
        <v>244</v>
      </c>
      <c r="G79" s="50" t="s">
        <v>245</v>
      </c>
      <c r="H79" s="50" t="s">
        <v>357</v>
      </c>
      <c r="I79" s="50" t="str">
        <f t="shared" si="51"/>
        <v>FLD_079_150504_FC_Q005_WSL_A.wor</v>
      </c>
    </row>
    <row r="80" spans="1:9" x14ac:dyDescent="0.3">
      <c r="A80" s="50" t="s">
        <v>191</v>
      </c>
      <c r="B80" s="51" t="s">
        <v>286</v>
      </c>
      <c r="C80" s="50">
        <v>150504</v>
      </c>
      <c r="D80" s="50" t="s">
        <v>281</v>
      </c>
      <c r="E80" s="50" t="s">
        <v>248</v>
      </c>
      <c r="F80" s="50" t="s">
        <v>244</v>
      </c>
      <c r="G80" s="50" t="s">
        <v>246</v>
      </c>
      <c r="H80" s="50" t="s">
        <v>357</v>
      </c>
      <c r="I80" s="50" t="str">
        <f t="shared" si="51"/>
        <v>FLD_080_150504_FC_Q005_WSL_B.wor</v>
      </c>
    </row>
    <row r="81" spans="1:9" x14ac:dyDescent="0.3">
      <c r="A81" s="50" t="s">
        <v>191</v>
      </c>
      <c r="B81" s="51" t="s">
        <v>287</v>
      </c>
      <c r="C81" s="50">
        <v>150504</v>
      </c>
      <c r="D81" s="50" t="s">
        <v>281</v>
      </c>
      <c r="E81" s="50" t="s">
        <v>248</v>
      </c>
      <c r="F81" s="50" t="s">
        <v>244</v>
      </c>
      <c r="G81" s="50" t="s">
        <v>247</v>
      </c>
      <c r="H81" s="50" t="s">
        <v>357</v>
      </c>
      <c r="I81" s="50" t="str">
        <f t="shared" si="51"/>
        <v>FLD_081_150504_FC_Q005_WSL_C.wor</v>
      </c>
    </row>
    <row r="82" spans="1:9" x14ac:dyDescent="0.3">
      <c r="A82" s="50" t="s">
        <v>191</v>
      </c>
      <c r="B82" s="51" t="s">
        <v>288</v>
      </c>
      <c r="C82" s="50">
        <v>150504</v>
      </c>
      <c r="D82" s="50" t="s">
        <v>281</v>
      </c>
      <c r="E82" s="50" t="s">
        <v>249</v>
      </c>
      <c r="F82" s="50" t="s">
        <v>244</v>
      </c>
      <c r="G82" s="50" t="s">
        <v>245</v>
      </c>
      <c r="H82" s="50" t="s">
        <v>357</v>
      </c>
      <c r="I82" s="50" t="str">
        <f t="shared" si="51"/>
        <v>FLD_082_150504_FC_Q010_WSL_A.wor</v>
      </c>
    </row>
    <row r="83" spans="1:9" x14ac:dyDescent="0.3">
      <c r="A83" s="50" t="s">
        <v>191</v>
      </c>
      <c r="B83" s="51" t="s">
        <v>289</v>
      </c>
      <c r="C83" s="50">
        <v>150504</v>
      </c>
      <c r="D83" s="50" t="s">
        <v>281</v>
      </c>
      <c r="E83" s="50" t="s">
        <v>249</v>
      </c>
      <c r="F83" s="50" t="s">
        <v>244</v>
      </c>
      <c r="G83" s="50" t="s">
        <v>246</v>
      </c>
      <c r="H83" s="50" t="s">
        <v>357</v>
      </c>
      <c r="I83" s="50" t="str">
        <f t="shared" si="51"/>
        <v>FLD_083_150504_FC_Q010_WSL_B.wor</v>
      </c>
    </row>
    <row r="84" spans="1:9" x14ac:dyDescent="0.3">
      <c r="A84" s="50" t="s">
        <v>191</v>
      </c>
      <c r="B84" s="51" t="s">
        <v>290</v>
      </c>
      <c r="C84" s="50">
        <v>150504</v>
      </c>
      <c r="D84" s="50" t="s">
        <v>281</v>
      </c>
      <c r="E84" s="50" t="s">
        <v>249</v>
      </c>
      <c r="F84" s="50" t="s">
        <v>244</v>
      </c>
      <c r="G84" s="50" t="s">
        <v>247</v>
      </c>
      <c r="H84" s="50" t="s">
        <v>357</v>
      </c>
      <c r="I84" s="50" t="str">
        <f t="shared" si="51"/>
        <v>FLD_084_150504_FC_Q010_WSL_C.wor</v>
      </c>
    </row>
    <row r="85" spans="1:9" x14ac:dyDescent="0.3">
      <c r="A85" s="50" t="s">
        <v>191</v>
      </c>
      <c r="B85" s="51" t="s">
        <v>291</v>
      </c>
      <c r="C85" s="50">
        <v>150504</v>
      </c>
      <c r="D85" s="50" t="s">
        <v>281</v>
      </c>
      <c r="E85" s="50" t="s">
        <v>250</v>
      </c>
      <c r="F85" s="50" t="s">
        <v>244</v>
      </c>
      <c r="G85" s="50" t="s">
        <v>245</v>
      </c>
      <c r="H85" s="50" t="s">
        <v>357</v>
      </c>
      <c r="I85" s="50" t="str">
        <f t="shared" si="51"/>
        <v>FLD_085_150504_FC_Q050_WSL_A.wor</v>
      </c>
    </row>
    <row r="86" spans="1:9" x14ac:dyDescent="0.3">
      <c r="A86" s="50" t="s">
        <v>191</v>
      </c>
      <c r="B86" s="51" t="s">
        <v>292</v>
      </c>
      <c r="C86" s="50">
        <v>150504</v>
      </c>
      <c r="D86" s="50" t="s">
        <v>281</v>
      </c>
      <c r="E86" s="50" t="s">
        <v>250</v>
      </c>
      <c r="F86" s="50" t="s">
        <v>244</v>
      </c>
      <c r="G86" s="50" t="s">
        <v>246</v>
      </c>
      <c r="H86" s="50" t="s">
        <v>357</v>
      </c>
      <c r="I86" s="50" t="str">
        <f t="shared" si="51"/>
        <v>FLD_086_150504_FC_Q050_WSL_B.wor</v>
      </c>
    </row>
    <row r="87" spans="1:9" x14ac:dyDescent="0.3">
      <c r="A87" s="50" t="s">
        <v>191</v>
      </c>
      <c r="B87" s="51" t="s">
        <v>293</v>
      </c>
      <c r="C87" s="50">
        <v>150504</v>
      </c>
      <c r="D87" s="50" t="s">
        <v>281</v>
      </c>
      <c r="E87" s="50" t="s">
        <v>250</v>
      </c>
      <c r="F87" s="50" t="s">
        <v>244</v>
      </c>
      <c r="G87" s="50" t="s">
        <v>247</v>
      </c>
      <c r="H87" s="50" t="s">
        <v>357</v>
      </c>
      <c r="I87" s="50" t="str">
        <f t="shared" si="51"/>
        <v>FLD_087_150504_FC_Q050_WSL_C.wor</v>
      </c>
    </row>
    <row r="88" spans="1:9" x14ac:dyDescent="0.3">
      <c r="A88" s="50" t="s">
        <v>191</v>
      </c>
      <c r="B88" s="51" t="s">
        <v>294</v>
      </c>
      <c r="C88" s="50">
        <v>150504</v>
      </c>
      <c r="D88" s="50" t="s">
        <v>281</v>
      </c>
      <c r="E88" s="50" t="s">
        <v>251</v>
      </c>
      <c r="F88" s="50" t="s">
        <v>244</v>
      </c>
      <c r="G88" s="50" t="s">
        <v>245</v>
      </c>
      <c r="H88" s="50" t="s">
        <v>357</v>
      </c>
      <c r="I88" s="50" t="str">
        <f t="shared" si="51"/>
        <v>FLD_088_150504_FC_Q100_WSL_A.wor</v>
      </c>
    </row>
    <row r="89" spans="1:9" x14ac:dyDescent="0.3">
      <c r="A89" s="50" t="s">
        <v>191</v>
      </c>
      <c r="B89" s="51" t="s">
        <v>295</v>
      </c>
      <c r="C89" s="50">
        <v>150504</v>
      </c>
      <c r="D89" s="50" t="s">
        <v>281</v>
      </c>
      <c r="E89" s="50" t="s">
        <v>251</v>
      </c>
      <c r="F89" s="50" t="s">
        <v>244</v>
      </c>
      <c r="G89" s="50" t="s">
        <v>246</v>
      </c>
      <c r="H89" s="50" t="s">
        <v>357</v>
      </c>
      <c r="I89" s="50" t="str">
        <f t="shared" si="51"/>
        <v>FLD_089_150504_FC_Q100_WSL_B.wor</v>
      </c>
    </row>
    <row r="90" spans="1:9" x14ac:dyDescent="0.3">
      <c r="A90" s="50" t="s">
        <v>191</v>
      </c>
      <c r="B90" s="51" t="s">
        <v>296</v>
      </c>
      <c r="C90" s="50">
        <v>150504</v>
      </c>
      <c r="D90" s="50" t="s">
        <v>281</v>
      </c>
      <c r="E90" s="50" t="s">
        <v>251</v>
      </c>
      <c r="F90" s="50" t="s">
        <v>244</v>
      </c>
      <c r="G90" s="50" t="s">
        <v>247</v>
      </c>
      <c r="H90" s="50" t="s">
        <v>357</v>
      </c>
      <c r="I90" s="50" t="str">
        <f t="shared" si="51"/>
        <v>FLD_090_150504_FC_Q100_WSL_C.wor</v>
      </c>
    </row>
    <row r="91" spans="1:9" x14ac:dyDescent="0.3">
      <c r="A91" s="50" t="s">
        <v>191</v>
      </c>
      <c r="B91" s="51" t="s">
        <v>297</v>
      </c>
      <c r="C91" s="50">
        <v>150504</v>
      </c>
      <c r="D91" s="50" t="s">
        <v>281</v>
      </c>
      <c r="E91" s="50" t="s">
        <v>243</v>
      </c>
      <c r="F91" s="50" t="s">
        <v>252</v>
      </c>
      <c r="G91" s="50" t="s">
        <v>245</v>
      </c>
      <c r="H91" s="50" t="s">
        <v>357</v>
      </c>
      <c r="I91" s="50" t="str">
        <f t="shared" si="51"/>
        <v>FLD_091_150504_FC_Q001_DEP_A.wor</v>
      </c>
    </row>
    <row r="92" spans="1:9" x14ac:dyDescent="0.3">
      <c r="A92" s="50" t="s">
        <v>191</v>
      </c>
      <c r="B92" s="51" t="s">
        <v>298</v>
      </c>
      <c r="C92" s="50">
        <v>150504</v>
      </c>
      <c r="D92" s="50" t="s">
        <v>281</v>
      </c>
      <c r="E92" s="50" t="s">
        <v>243</v>
      </c>
      <c r="F92" s="50" t="s">
        <v>252</v>
      </c>
      <c r="G92" s="50" t="s">
        <v>246</v>
      </c>
      <c r="H92" s="50" t="s">
        <v>357</v>
      </c>
      <c r="I92" s="50" t="str">
        <f t="shared" si="51"/>
        <v>FLD_092_150504_FC_Q001_DEP_B.wor</v>
      </c>
    </row>
    <row r="93" spans="1:9" x14ac:dyDescent="0.3">
      <c r="A93" s="50" t="s">
        <v>191</v>
      </c>
      <c r="B93" s="51" t="s">
        <v>299</v>
      </c>
      <c r="C93" s="50">
        <v>150504</v>
      </c>
      <c r="D93" s="50" t="s">
        <v>281</v>
      </c>
      <c r="E93" s="50" t="s">
        <v>243</v>
      </c>
      <c r="F93" s="50" t="s">
        <v>252</v>
      </c>
      <c r="G93" s="50" t="s">
        <v>247</v>
      </c>
      <c r="H93" s="50" t="s">
        <v>357</v>
      </c>
      <c r="I93" s="50" t="str">
        <f t="shared" si="51"/>
        <v>FLD_093_150504_FC_Q001_DEP_C.wor</v>
      </c>
    </row>
    <row r="94" spans="1:9" x14ac:dyDescent="0.3">
      <c r="A94" s="50" t="s">
        <v>191</v>
      </c>
      <c r="B94" s="51" t="s">
        <v>300</v>
      </c>
      <c r="C94" s="50">
        <v>150504</v>
      </c>
      <c r="D94" s="50" t="s">
        <v>281</v>
      </c>
      <c r="E94" s="50" t="s">
        <v>248</v>
      </c>
      <c r="F94" s="50" t="s">
        <v>252</v>
      </c>
      <c r="G94" s="50" t="s">
        <v>245</v>
      </c>
      <c r="H94" s="50" t="s">
        <v>357</v>
      </c>
      <c r="I94" s="50" t="str">
        <f t="shared" si="51"/>
        <v>FLD_094_150504_FC_Q005_DEP_A.wor</v>
      </c>
    </row>
    <row r="95" spans="1:9" x14ac:dyDescent="0.3">
      <c r="A95" s="50" t="s">
        <v>191</v>
      </c>
      <c r="B95" s="51" t="s">
        <v>301</v>
      </c>
      <c r="C95" s="50">
        <v>150504</v>
      </c>
      <c r="D95" s="50" t="s">
        <v>281</v>
      </c>
      <c r="E95" s="50" t="s">
        <v>248</v>
      </c>
      <c r="F95" s="50" t="s">
        <v>252</v>
      </c>
      <c r="G95" s="50" t="s">
        <v>246</v>
      </c>
      <c r="H95" s="50" t="s">
        <v>357</v>
      </c>
      <c r="I95" s="50" t="str">
        <f t="shared" si="51"/>
        <v>FLD_095_150504_FC_Q005_DEP_B.wor</v>
      </c>
    </row>
    <row r="96" spans="1:9" x14ac:dyDescent="0.3">
      <c r="A96" s="50" t="s">
        <v>191</v>
      </c>
      <c r="B96" s="51" t="s">
        <v>302</v>
      </c>
      <c r="C96" s="50">
        <v>150504</v>
      </c>
      <c r="D96" s="50" t="s">
        <v>281</v>
      </c>
      <c r="E96" s="50" t="s">
        <v>248</v>
      </c>
      <c r="F96" s="50" t="s">
        <v>252</v>
      </c>
      <c r="G96" s="50" t="s">
        <v>247</v>
      </c>
      <c r="H96" s="50" t="s">
        <v>357</v>
      </c>
      <c r="I96" s="50" t="str">
        <f t="shared" si="51"/>
        <v>FLD_096_150504_FC_Q005_DEP_C.wor</v>
      </c>
    </row>
    <row r="97" spans="1:9" x14ac:dyDescent="0.3">
      <c r="A97" s="50" t="s">
        <v>191</v>
      </c>
      <c r="B97" s="51" t="s">
        <v>303</v>
      </c>
      <c r="C97" s="50">
        <v>150504</v>
      </c>
      <c r="D97" s="50" t="s">
        <v>281</v>
      </c>
      <c r="E97" s="50" t="s">
        <v>249</v>
      </c>
      <c r="F97" s="50" t="s">
        <v>252</v>
      </c>
      <c r="G97" s="50" t="s">
        <v>245</v>
      </c>
      <c r="H97" s="50" t="s">
        <v>357</v>
      </c>
      <c r="I97" s="50" t="str">
        <f t="shared" si="51"/>
        <v>FLD_097_150504_FC_Q010_DEP_A.wor</v>
      </c>
    </row>
    <row r="98" spans="1:9" x14ac:dyDescent="0.3">
      <c r="A98" s="50" t="s">
        <v>191</v>
      </c>
      <c r="B98" s="51" t="s">
        <v>304</v>
      </c>
      <c r="C98" s="50">
        <v>150504</v>
      </c>
      <c r="D98" s="50" t="s">
        <v>281</v>
      </c>
      <c r="E98" s="50" t="s">
        <v>249</v>
      </c>
      <c r="F98" s="50" t="s">
        <v>252</v>
      </c>
      <c r="G98" s="50" t="s">
        <v>246</v>
      </c>
      <c r="H98" s="50" t="s">
        <v>357</v>
      </c>
      <c r="I98" s="50" t="str">
        <f t="shared" si="51"/>
        <v>FLD_098_150504_FC_Q010_DEP_B.wor</v>
      </c>
    </row>
    <row r="99" spans="1:9" x14ac:dyDescent="0.3">
      <c r="A99" s="50" t="s">
        <v>191</v>
      </c>
      <c r="B99" s="51" t="s">
        <v>305</v>
      </c>
      <c r="C99" s="50">
        <v>150504</v>
      </c>
      <c r="D99" s="50" t="s">
        <v>281</v>
      </c>
      <c r="E99" s="50" t="s">
        <v>249</v>
      </c>
      <c r="F99" s="50" t="s">
        <v>252</v>
      </c>
      <c r="G99" s="50" t="s">
        <v>247</v>
      </c>
      <c r="H99" s="50" t="s">
        <v>357</v>
      </c>
      <c r="I99" s="50" t="str">
        <f t="shared" si="51"/>
        <v>FLD_099_150504_FC_Q010_DEP_C.wor</v>
      </c>
    </row>
    <row r="100" spans="1:9" x14ac:dyDescent="0.3">
      <c r="A100" s="50" t="s">
        <v>191</v>
      </c>
      <c r="B100" s="51" t="s">
        <v>306</v>
      </c>
      <c r="C100" s="50">
        <v>150504</v>
      </c>
      <c r="D100" s="50" t="s">
        <v>281</v>
      </c>
      <c r="E100" s="50" t="s">
        <v>250</v>
      </c>
      <c r="F100" s="50" t="s">
        <v>252</v>
      </c>
      <c r="G100" s="50" t="s">
        <v>245</v>
      </c>
      <c r="H100" s="50" t="s">
        <v>357</v>
      </c>
      <c r="I100" s="50" t="str">
        <f t="shared" si="51"/>
        <v>FLD_100_150504_FC_Q050_DEP_A.wor</v>
      </c>
    </row>
    <row r="101" spans="1:9" x14ac:dyDescent="0.3">
      <c r="A101" s="50" t="s">
        <v>191</v>
      </c>
      <c r="B101" s="51" t="s">
        <v>307</v>
      </c>
      <c r="C101" s="50">
        <v>150504</v>
      </c>
      <c r="D101" s="50" t="s">
        <v>281</v>
      </c>
      <c r="E101" s="50" t="s">
        <v>250</v>
      </c>
      <c r="F101" s="50" t="s">
        <v>252</v>
      </c>
      <c r="G101" s="50" t="s">
        <v>246</v>
      </c>
      <c r="H101" s="50" t="s">
        <v>357</v>
      </c>
      <c r="I101" s="50" t="str">
        <f t="shared" si="51"/>
        <v>FLD_101_150504_FC_Q050_DEP_B.wor</v>
      </c>
    </row>
    <row r="102" spans="1:9" x14ac:dyDescent="0.3">
      <c r="A102" s="50" t="s">
        <v>191</v>
      </c>
      <c r="B102" s="51" t="s">
        <v>308</v>
      </c>
      <c r="C102" s="50">
        <v>150504</v>
      </c>
      <c r="D102" s="50" t="s">
        <v>281</v>
      </c>
      <c r="E102" s="50" t="s">
        <v>250</v>
      </c>
      <c r="F102" s="50" t="s">
        <v>252</v>
      </c>
      <c r="G102" s="50" t="s">
        <v>247</v>
      </c>
      <c r="H102" s="50" t="s">
        <v>357</v>
      </c>
      <c r="I102" s="50" t="str">
        <f t="shared" si="51"/>
        <v>FLD_102_150504_FC_Q050_DEP_C.wor</v>
      </c>
    </row>
    <row r="103" spans="1:9" x14ac:dyDescent="0.3">
      <c r="A103" s="50" t="s">
        <v>191</v>
      </c>
      <c r="B103" s="51" t="s">
        <v>309</v>
      </c>
      <c r="C103" s="50">
        <v>150504</v>
      </c>
      <c r="D103" s="50" t="s">
        <v>281</v>
      </c>
      <c r="E103" s="50" t="s">
        <v>251</v>
      </c>
      <c r="F103" s="50" t="s">
        <v>252</v>
      </c>
      <c r="G103" s="50" t="s">
        <v>245</v>
      </c>
      <c r="H103" s="50" t="s">
        <v>357</v>
      </c>
      <c r="I103" s="50" t="str">
        <f t="shared" si="51"/>
        <v>FLD_103_150504_FC_Q100_DEP_A.wor</v>
      </c>
    </row>
    <row r="104" spans="1:9" x14ac:dyDescent="0.3">
      <c r="A104" s="50" t="s">
        <v>191</v>
      </c>
      <c r="B104" s="51" t="s">
        <v>310</v>
      </c>
      <c r="C104" s="50">
        <v>150504</v>
      </c>
      <c r="D104" s="50" t="s">
        <v>281</v>
      </c>
      <c r="E104" s="50" t="s">
        <v>251</v>
      </c>
      <c r="F104" s="50" t="s">
        <v>252</v>
      </c>
      <c r="G104" s="50" t="s">
        <v>246</v>
      </c>
      <c r="H104" s="50" t="s">
        <v>357</v>
      </c>
      <c r="I104" s="50" t="str">
        <f t="shared" si="51"/>
        <v>FLD_104_150504_FC_Q100_DEP_B.wor</v>
      </c>
    </row>
    <row r="105" spans="1:9" x14ac:dyDescent="0.3">
      <c r="A105" s="50" t="s">
        <v>191</v>
      </c>
      <c r="B105" s="51" t="s">
        <v>311</v>
      </c>
      <c r="C105" s="50">
        <v>150504</v>
      </c>
      <c r="D105" s="50" t="s">
        <v>281</v>
      </c>
      <c r="E105" s="50" t="s">
        <v>251</v>
      </c>
      <c r="F105" s="50" t="s">
        <v>252</v>
      </c>
      <c r="G105" s="50" t="s">
        <v>247</v>
      </c>
      <c r="H105" s="50" t="s">
        <v>357</v>
      </c>
      <c r="I105" s="50" t="str">
        <f t="shared" si="51"/>
        <v>FLD_105_150504_FC_Q100_DEP_C.wor</v>
      </c>
    </row>
    <row r="106" spans="1:9" x14ac:dyDescent="0.3">
      <c r="A106" s="50" t="s">
        <v>191</v>
      </c>
      <c r="B106" s="51" t="s">
        <v>312</v>
      </c>
      <c r="C106" s="50">
        <v>150504</v>
      </c>
      <c r="D106" s="50" t="s">
        <v>281</v>
      </c>
      <c r="E106" s="50" t="s">
        <v>243</v>
      </c>
      <c r="F106" s="50" t="s">
        <v>253</v>
      </c>
      <c r="G106" s="50" t="s">
        <v>245</v>
      </c>
      <c r="H106" s="50" t="s">
        <v>357</v>
      </c>
      <c r="I106" s="50" t="str">
        <f t="shared" si="51"/>
        <v>FLD_106_150504_FC_Q001_VEL_A.wor</v>
      </c>
    </row>
    <row r="107" spans="1:9" x14ac:dyDescent="0.3">
      <c r="A107" s="50" t="s">
        <v>191</v>
      </c>
      <c r="B107" s="51" t="s">
        <v>313</v>
      </c>
      <c r="C107" s="50">
        <v>150504</v>
      </c>
      <c r="D107" s="50" t="s">
        <v>281</v>
      </c>
      <c r="E107" s="50" t="s">
        <v>243</v>
      </c>
      <c r="F107" s="50" t="s">
        <v>253</v>
      </c>
      <c r="G107" s="50" t="s">
        <v>246</v>
      </c>
      <c r="H107" s="50" t="s">
        <v>357</v>
      </c>
      <c r="I107" s="50" t="str">
        <f t="shared" si="51"/>
        <v>FLD_107_150504_FC_Q001_VEL_B.wor</v>
      </c>
    </row>
    <row r="108" spans="1:9" x14ac:dyDescent="0.3">
      <c r="A108" s="50" t="s">
        <v>191</v>
      </c>
      <c r="B108" s="51" t="s">
        <v>314</v>
      </c>
      <c r="C108" s="50">
        <v>150504</v>
      </c>
      <c r="D108" s="50" t="s">
        <v>281</v>
      </c>
      <c r="E108" s="50" t="s">
        <v>243</v>
      </c>
      <c r="F108" s="50" t="s">
        <v>253</v>
      </c>
      <c r="G108" s="50" t="s">
        <v>247</v>
      </c>
      <c r="H108" s="50" t="s">
        <v>357</v>
      </c>
      <c r="I108" s="50" t="str">
        <f t="shared" si="51"/>
        <v>FLD_108_150504_FC_Q001_VEL_C.wor</v>
      </c>
    </row>
    <row r="109" spans="1:9" x14ac:dyDescent="0.3">
      <c r="A109" s="50" t="s">
        <v>191</v>
      </c>
      <c r="B109" s="51" t="s">
        <v>315</v>
      </c>
      <c r="C109" s="50">
        <v>150504</v>
      </c>
      <c r="D109" s="50" t="s">
        <v>281</v>
      </c>
      <c r="E109" s="50" t="s">
        <v>248</v>
      </c>
      <c r="F109" s="50" t="s">
        <v>253</v>
      </c>
      <c r="G109" s="50" t="s">
        <v>245</v>
      </c>
      <c r="H109" s="50" t="s">
        <v>357</v>
      </c>
      <c r="I109" s="50" t="str">
        <f t="shared" si="51"/>
        <v>FLD_109_150504_FC_Q005_VEL_A.wor</v>
      </c>
    </row>
    <row r="110" spans="1:9" x14ac:dyDescent="0.3">
      <c r="A110" s="50" t="s">
        <v>191</v>
      </c>
      <c r="B110" s="51" t="s">
        <v>316</v>
      </c>
      <c r="C110" s="50">
        <v>150504</v>
      </c>
      <c r="D110" s="50" t="s">
        <v>281</v>
      </c>
      <c r="E110" s="50" t="s">
        <v>248</v>
      </c>
      <c r="F110" s="50" t="s">
        <v>253</v>
      </c>
      <c r="G110" s="50" t="s">
        <v>246</v>
      </c>
      <c r="H110" s="50" t="s">
        <v>357</v>
      </c>
      <c r="I110" s="50" t="str">
        <f t="shared" si="51"/>
        <v>FLD_110_150504_FC_Q005_VEL_B.wor</v>
      </c>
    </row>
    <row r="111" spans="1:9" x14ac:dyDescent="0.3">
      <c r="A111" s="50" t="s">
        <v>191</v>
      </c>
      <c r="B111" s="51" t="s">
        <v>317</v>
      </c>
      <c r="C111" s="50">
        <v>150504</v>
      </c>
      <c r="D111" s="50" t="s">
        <v>281</v>
      </c>
      <c r="E111" s="50" t="s">
        <v>248</v>
      </c>
      <c r="F111" s="50" t="s">
        <v>253</v>
      </c>
      <c r="G111" s="50" t="s">
        <v>247</v>
      </c>
      <c r="H111" s="50" t="s">
        <v>357</v>
      </c>
      <c r="I111" s="50" t="str">
        <f t="shared" si="51"/>
        <v>FLD_111_150504_FC_Q005_VEL_C.wor</v>
      </c>
    </row>
    <row r="112" spans="1:9" x14ac:dyDescent="0.3">
      <c r="A112" s="50" t="s">
        <v>191</v>
      </c>
      <c r="B112" s="51" t="s">
        <v>318</v>
      </c>
      <c r="C112" s="50">
        <v>150504</v>
      </c>
      <c r="D112" s="50" t="s">
        <v>281</v>
      </c>
      <c r="E112" s="50" t="s">
        <v>249</v>
      </c>
      <c r="F112" s="50" t="s">
        <v>253</v>
      </c>
      <c r="G112" s="50" t="s">
        <v>245</v>
      </c>
      <c r="H112" s="50" t="s">
        <v>357</v>
      </c>
      <c r="I112" s="50" t="str">
        <f t="shared" si="51"/>
        <v>FLD_112_150504_FC_Q010_VEL_A.wor</v>
      </c>
    </row>
    <row r="113" spans="1:9" x14ac:dyDescent="0.3">
      <c r="A113" s="50" t="s">
        <v>191</v>
      </c>
      <c r="B113" s="51" t="s">
        <v>319</v>
      </c>
      <c r="C113" s="50">
        <v>150504</v>
      </c>
      <c r="D113" s="50" t="s">
        <v>281</v>
      </c>
      <c r="E113" s="50" t="s">
        <v>249</v>
      </c>
      <c r="F113" s="50" t="s">
        <v>253</v>
      </c>
      <c r="G113" s="50" t="s">
        <v>246</v>
      </c>
      <c r="H113" s="50" t="s">
        <v>357</v>
      </c>
      <c r="I113" s="50" t="str">
        <f t="shared" si="51"/>
        <v>FLD_113_150504_FC_Q010_VEL_B.wor</v>
      </c>
    </row>
    <row r="114" spans="1:9" x14ac:dyDescent="0.3">
      <c r="A114" s="50" t="s">
        <v>191</v>
      </c>
      <c r="B114" s="51" t="s">
        <v>320</v>
      </c>
      <c r="C114" s="50">
        <v>150504</v>
      </c>
      <c r="D114" s="50" t="s">
        <v>281</v>
      </c>
      <c r="E114" s="50" t="s">
        <v>249</v>
      </c>
      <c r="F114" s="50" t="s">
        <v>253</v>
      </c>
      <c r="G114" s="50" t="s">
        <v>247</v>
      </c>
      <c r="H114" s="50" t="s">
        <v>357</v>
      </c>
      <c r="I114" s="50" t="str">
        <f t="shared" si="51"/>
        <v>FLD_114_150504_FC_Q010_VEL_C.wor</v>
      </c>
    </row>
    <row r="115" spans="1:9" x14ac:dyDescent="0.3">
      <c r="A115" s="50" t="s">
        <v>191</v>
      </c>
      <c r="B115" s="51" t="s">
        <v>321</v>
      </c>
      <c r="C115" s="50">
        <v>150504</v>
      </c>
      <c r="D115" s="50" t="s">
        <v>281</v>
      </c>
      <c r="E115" s="50" t="s">
        <v>250</v>
      </c>
      <c r="F115" s="50" t="s">
        <v>253</v>
      </c>
      <c r="G115" s="50" t="s">
        <v>245</v>
      </c>
      <c r="H115" s="50" t="s">
        <v>357</v>
      </c>
      <c r="I115" s="50" t="str">
        <f t="shared" si="51"/>
        <v>FLD_115_150504_FC_Q050_VEL_A.wor</v>
      </c>
    </row>
    <row r="116" spans="1:9" x14ac:dyDescent="0.3">
      <c r="A116" s="50" t="s">
        <v>191</v>
      </c>
      <c r="B116" s="51" t="s">
        <v>322</v>
      </c>
      <c r="C116" s="50">
        <v>150504</v>
      </c>
      <c r="D116" s="50" t="s">
        <v>281</v>
      </c>
      <c r="E116" s="50" t="s">
        <v>250</v>
      </c>
      <c r="F116" s="50" t="s">
        <v>253</v>
      </c>
      <c r="G116" s="50" t="s">
        <v>246</v>
      </c>
      <c r="H116" s="50" t="s">
        <v>357</v>
      </c>
      <c r="I116" s="50" t="str">
        <f t="shared" si="51"/>
        <v>FLD_116_150504_FC_Q050_VEL_B.wor</v>
      </c>
    </row>
    <row r="117" spans="1:9" x14ac:dyDescent="0.3">
      <c r="A117" s="50" t="s">
        <v>191</v>
      </c>
      <c r="B117" s="51" t="s">
        <v>323</v>
      </c>
      <c r="C117" s="50">
        <v>150504</v>
      </c>
      <c r="D117" s="50" t="s">
        <v>281</v>
      </c>
      <c r="E117" s="50" t="s">
        <v>250</v>
      </c>
      <c r="F117" s="50" t="s">
        <v>253</v>
      </c>
      <c r="G117" s="50" t="s">
        <v>247</v>
      </c>
      <c r="H117" s="50" t="s">
        <v>357</v>
      </c>
      <c r="I117" s="50" t="str">
        <f t="shared" si="51"/>
        <v>FLD_117_150504_FC_Q050_VEL_C.wor</v>
      </c>
    </row>
    <row r="118" spans="1:9" x14ac:dyDescent="0.3">
      <c r="A118" s="50" t="s">
        <v>191</v>
      </c>
      <c r="B118" s="51" t="s">
        <v>324</v>
      </c>
      <c r="C118" s="50">
        <v>150504</v>
      </c>
      <c r="D118" s="50" t="s">
        <v>281</v>
      </c>
      <c r="E118" s="50" t="s">
        <v>251</v>
      </c>
      <c r="F118" s="50" t="s">
        <v>253</v>
      </c>
      <c r="G118" s="50" t="s">
        <v>245</v>
      </c>
      <c r="H118" s="50" t="s">
        <v>357</v>
      </c>
      <c r="I118" s="50" t="str">
        <f t="shared" si="51"/>
        <v>FLD_118_150504_FC_Q100_VEL_A.wor</v>
      </c>
    </row>
    <row r="119" spans="1:9" x14ac:dyDescent="0.3">
      <c r="A119" s="50" t="s">
        <v>191</v>
      </c>
      <c r="B119" s="51" t="s">
        <v>325</v>
      </c>
      <c r="C119" s="50">
        <v>150504</v>
      </c>
      <c r="D119" s="50" t="s">
        <v>281</v>
      </c>
      <c r="E119" s="50" t="s">
        <v>251</v>
      </c>
      <c r="F119" s="50" t="s">
        <v>253</v>
      </c>
      <c r="G119" s="50" t="s">
        <v>246</v>
      </c>
      <c r="H119" s="50" t="s">
        <v>357</v>
      </c>
      <c r="I119" s="50" t="str">
        <f t="shared" si="51"/>
        <v>FLD_119_150504_FC_Q100_VEL_B.wor</v>
      </c>
    </row>
    <row r="120" spans="1:9" x14ac:dyDescent="0.3">
      <c r="A120" s="50" t="s">
        <v>191</v>
      </c>
      <c r="B120" s="51" t="s">
        <v>326</v>
      </c>
      <c r="C120" s="50">
        <v>150504</v>
      </c>
      <c r="D120" s="50" t="s">
        <v>281</v>
      </c>
      <c r="E120" s="50" t="s">
        <v>251</v>
      </c>
      <c r="F120" s="50" t="s">
        <v>253</v>
      </c>
      <c r="G120" s="50" t="s">
        <v>247</v>
      </c>
      <c r="H120" s="50" t="s">
        <v>357</v>
      </c>
      <c r="I120" s="50" t="str">
        <f t="shared" si="51"/>
        <v>FLD_120_150504_FC_Q100_VEL_C.wor</v>
      </c>
    </row>
    <row r="121" spans="1:9" x14ac:dyDescent="0.3">
      <c r="A121" s="50" t="s">
        <v>191</v>
      </c>
      <c r="B121" s="51" t="s">
        <v>327</v>
      </c>
      <c r="C121" s="50">
        <v>150504</v>
      </c>
      <c r="D121" s="50" t="s">
        <v>281</v>
      </c>
      <c r="E121" s="50" t="s">
        <v>243</v>
      </c>
      <c r="F121" s="50" t="s">
        <v>254</v>
      </c>
      <c r="G121" s="50" t="s">
        <v>245</v>
      </c>
      <c r="H121" s="50" t="s">
        <v>357</v>
      </c>
      <c r="I121" s="50" t="str">
        <f t="shared" si="51"/>
        <v>FLD_121_150504_FC_Q001_VxD_A.wor</v>
      </c>
    </row>
    <row r="122" spans="1:9" x14ac:dyDescent="0.3">
      <c r="A122" s="50" t="s">
        <v>191</v>
      </c>
      <c r="B122" s="51" t="s">
        <v>328</v>
      </c>
      <c r="C122" s="50">
        <v>150504</v>
      </c>
      <c r="D122" s="50" t="s">
        <v>281</v>
      </c>
      <c r="E122" s="50" t="s">
        <v>243</v>
      </c>
      <c r="F122" s="50" t="s">
        <v>254</v>
      </c>
      <c r="G122" s="50" t="s">
        <v>246</v>
      </c>
      <c r="H122" s="50" t="s">
        <v>357</v>
      </c>
      <c r="I122" s="50" t="str">
        <f t="shared" si="51"/>
        <v>FLD_122_150504_FC_Q001_VxD_B.wor</v>
      </c>
    </row>
    <row r="123" spans="1:9" x14ac:dyDescent="0.3">
      <c r="A123" s="50" t="s">
        <v>191</v>
      </c>
      <c r="B123" s="51" t="s">
        <v>329</v>
      </c>
      <c r="C123" s="50">
        <v>150504</v>
      </c>
      <c r="D123" s="50" t="s">
        <v>281</v>
      </c>
      <c r="E123" s="50" t="s">
        <v>243</v>
      </c>
      <c r="F123" s="50" t="s">
        <v>254</v>
      </c>
      <c r="G123" s="50" t="s">
        <v>247</v>
      </c>
      <c r="H123" s="50" t="s">
        <v>357</v>
      </c>
      <c r="I123" s="50" t="str">
        <f t="shared" si="51"/>
        <v>FLD_123_150504_FC_Q001_VxD_C.wor</v>
      </c>
    </row>
    <row r="124" spans="1:9" x14ac:dyDescent="0.3">
      <c r="A124" s="50" t="s">
        <v>191</v>
      </c>
      <c r="B124" s="51" t="s">
        <v>330</v>
      </c>
      <c r="C124" s="50">
        <v>150504</v>
      </c>
      <c r="D124" s="50" t="s">
        <v>281</v>
      </c>
      <c r="E124" s="50" t="s">
        <v>248</v>
      </c>
      <c r="F124" s="50" t="s">
        <v>254</v>
      </c>
      <c r="G124" s="50" t="s">
        <v>245</v>
      </c>
      <c r="H124" s="50" t="s">
        <v>357</v>
      </c>
      <c r="I124" s="50" t="str">
        <f t="shared" si="51"/>
        <v>FLD_124_150504_FC_Q005_VxD_A.wor</v>
      </c>
    </row>
    <row r="125" spans="1:9" x14ac:dyDescent="0.3">
      <c r="A125" s="50" t="s">
        <v>191</v>
      </c>
      <c r="B125" s="51" t="s">
        <v>331</v>
      </c>
      <c r="C125" s="50">
        <v>150504</v>
      </c>
      <c r="D125" s="50" t="s">
        <v>281</v>
      </c>
      <c r="E125" s="50" t="s">
        <v>248</v>
      </c>
      <c r="F125" s="50" t="s">
        <v>254</v>
      </c>
      <c r="G125" s="50" t="s">
        <v>246</v>
      </c>
      <c r="H125" s="50" t="s">
        <v>357</v>
      </c>
      <c r="I125" s="50" t="str">
        <f t="shared" si="51"/>
        <v>FLD_125_150504_FC_Q005_VxD_B.wor</v>
      </c>
    </row>
    <row r="126" spans="1:9" x14ac:dyDescent="0.3">
      <c r="A126" s="50" t="s">
        <v>191</v>
      </c>
      <c r="B126" s="51" t="s">
        <v>332</v>
      </c>
      <c r="C126" s="50">
        <v>150504</v>
      </c>
      <c r="D126" s="50" t="s">
        <v>281</v>
      </c>
      <c r="E126" s="50" t="s">
        <v>248</v>
      </c>
      <c r="F126" s="50" t="s">
        <v>254</v>
      </c>
      <c r="G126" s="50" t="s">
        <v>247</v>
      </c>
      <c r="H126" s="50" t="s">
        <v>357</v>
      </c>
      <c r="I126" s="50" t="str">
        <f t="shared" si="51"/>
        <v>FLD_126_150504_FC_Q005_VxD_C.wor</v>
      </c>
    </row>
    <row r="127" spans="1:9" x14ac:dyDescent="0.3">
      <c r="A127" s="50" t="s">
        <v>191</v>
      </c>
      <c r="B127" s="51" t="s">
        <v>333</v>
      </c>
      <c r="C127" s="50">
        <v>150504</v>
      </c>
      <c r="D127" s="50" t="s">
        <v>281</v>
      </c>
      <c r="E127" s="50" t="s">
        <v>249</v>
      </c>
      <c r="F127" s="50" t="s">
        <v>254</v>
      </c>
      <c r="G127" s="50" t="s">
        <v>245</v>
      </c>
      <c r="H127" s="50" t="s">
        <v>357</v>
      </c>
      <c r="I127" s="50" t="str">
        <f t="shared" si="51"/>
        <v>FLD_127_150504_FC_Q010_VxD_A.wor</v>
      </c>
    </row>
    <row r="128" spans="1:9" x14ac:dyDescent="0.3">
      <c r="A128" s="50" t="s">
        <v>191</v>
      </c>
      <c r="B128" s="51" t="s">
        <v>334</v>
      </c>
      <c r="C128" s="50">
        <v>150504</v>
      </c>
      <c r="D128" s="50" t="s">
        <v>281</v>
      </c>
      <c r="E128" s="50" t="s">
        <v>249</v>
      </c>
      <c r="F128" s="50" t="s">
        <v>254</v>
      </c>
      <c r="G128" s="50" t="s">
        <v>246</v>
      </c>
      <c r="H128" s="50" t="s">
        <v>357</v>
      </c>
      <c r="I128" s="50" t="str">
        <f t="shared" si="51"/>
        <v>FLD_128_150504_FC_Q010_VxD_B.wor</v>
      </c>
    </row>
    <row r="129" spans="1:9" x14ac:dyDescent="0.3">
      <c r="A129" s="50" t="s">
        <v>191</v>
      </c>
      <c r="B129" s="51" t="s">
        <v>335</v>
      </c>
      <c r="C129" s="50">
        <v>150504</v>
      </c>
      <c r="D129" s="50" t="s">
        <v>281</v>
      </c>
      <c r="E129" s="50" t="s">
        <v>249</v>
      </c>
      <c r="F129" s="50" t="s">
        <v>254</v>
      </c>
      <c r="G129" s="50" t="s">
        <v>247</v>
      </c>
      <c r="H129" s="50" t="s">
        <v>357</v>
      </c>
      <c r="I129" s="50" t="str">
        <f t="shared" si="51"/>
        <v>FLD_129_150504_FC_Q010_VxD_C.wor</v>
      </c>
    </row>
    <row r="130" spans="1:9" x14ac:dyDescent="0.3">
      <c r="A130" s="50" t="s">
        <v>191</v>
      </c>
      <c r="B130" s="51" t="s">
        <v>336</v>
      </c>
      <c r="C130" s="50">
        <v>150504</v>
      </c>
      <c r="D130" s="50" t="s">
        <v>281</v>
      </c>
      <c r="E130" s="50" t="s">
        <v>250</v>
      </c>
      <c r="F130" s="50" t="s">
        <v>254</v>
      </c>
      <c r="G130" s="50" t="s">
        <v>245</v>
      </c>
      <c r="H130" s="50" t="s">
        <v>357</v>
      </c>
      <c r="I130" s="50" t="str">
        <f t="shared" ref="I130:I150" si="52">CONCATENATE(A130,"_",B130,"_",C130,"_",D130,"_",E130,"_",F130,"_",G130,".",H130)</f>
        <v>FLD_130_150504_FC_Q050_VxD_A.wor</v>
      </c>
    </row>
    <row r="131" spans="1:9" x14ac:dyDescent="0.3">
      <c r="A131" s="50" t="s">
        <v>191</v>
      </c>
      <c r="B131" s="51" t="s">
        <v>337</v>
      </c>
      <c r="C131" s="50">
        <v>150504</v>
      </c>
      <c r="D131" s="50" t="s">
        <v>281</v>
      </c>
      <c r="E131" s="50" t="s">
        <v>250</v>
      </c>
      <c r="F131" s="50" t="s">
        <v>254</v>
      </c>
      <c r="G131" s="50" t="s">
        <v>246</v>
      </c>
      <c r="H131" s="50" t="s">
        <v>357</v>
      </c>
      <c r="I131" s="50" t="str">
        <f t="shared" si="52"/>
        <v>FLD_131_150504_FC_Q050_VxD_B.wor</v>
      </c>
    </row>
    <row r="132" spans="1:9" x14ac:dyDescent="0.3">
      <c r="A132" s="50" t="s">
        <v>191</v>
      </c>
      <c r="B132" s="51" t="s">
        <v>338</v>
      </c>
      <c r="C132" s="50">
        <v>150504</v>
      </c>
      <c r="D132" s="50" t="s">
        <v>281</v>
      </c>
      <c r="E132" s="50" t="s">
        <v>250</v>
      </c>
      <c r="F132" s="50" t="s">
        <v>254</v>
      </c>
      <c r="G132" s="50" t="s">
        <v>247</v>
      </c>
      <c r="H132" s="50" t="s">
        <v>357</v>
      </c>
      <c r="I132" s="50" t="str">
        <f t="shared" si="52"/>
        <v>FLD_132_150504_FC_Q050_VxD_C.wor</v>
      </c>
    </row>
    <row r="133" spans="1:9" x14ac:dyDescent="0.3">
      <c r="A133" s="50" t="s">
        <v>191</v>
      </c>
      <c r="B133" s="51" t="s">
        <v>339</v>
      </c>
      <c r="C133" s="50">
        <v>150504</v>
      </c>
      <c r="D133" s="50" t="s">
        <v>281</v>
      </c>
      <c r="E133" s="50" t="s">
        <v>251</v>
      </c>
      <c r="F133" s="50" t="s">
        <v>254</v>
      </c>
      <c r="G133" s="50" t="s">
        <v>245</v>
      </c>
      <c r="H133" s="50" t="s">
        <v>357</v>
      </c>
      <c r="I133" s="50" t="str">
        <f t="shared" si="52"/>
        <v>FLD_133_150504_FC_Q100_VxD_A.wor</v>
      </c>
    </row>
    <row r="134" spans="1:9" x14ac:dyDescent="0.3">
      <c r="A134" s="50" t="s">
        <v>191</v>
      </c>
      <c r="B134" s="51" t="s">
        <v>340</v>
      </c>
      <c r="C134" s="50">
        <v>150504</v>
      </c>
      <c r="D134" s="50" t="s">
        <v>281</v>
      </c>
      <c r="E134" s="50" t="s">
        <v>251</v>
      </c>
      <c r="F134" s="50" t="s">
        <v>254</v>
      </c>
      <c r="G134" s="50" t="s">
        <v>246</v>
      </c>
      <c r="H134" s="50" t="s">
        <v>357</v>
      </c>
      <c r="I134" s="50" t="str">
        <f t="shared" si="52"/>
        <v>FLD_134_150504_FC_Q100_VxD_B.wor</v>
      </c>
    </row>
    <row r="135" spans="1:9" x14ac:dyDescent="0.3">
      <c r="A135" s="50" t="s">
        <v>191</v>
      </c>
      <c r="B135" s="51" t="s">
        <v>341</v>
      </c>
      <c r="C135" s="50">
        <v>150504</v>
      </c>
      <c r="D135" s="50" t="s">
        <v>281</v>
      </c>
      <c r="E135" s="50" t="s">
        <v>251</v>
      </c>
      <c r="F135" s="50" t="s">
        <v>254</v>
      </c>
      <c r="G135" s="50" t="s">
        <v>247</v>
      </c>
      <c r="H135" s="50" t="s">
        <v>357</v>
      </c>
      <c r="I135" s="50" t="str">
        <f t="shared" si="52"/>
        <v>FLD_135_150504_FC_Q100_VxD_C.wor</v>
      </c>
    </row>
    <row r="136" spans="1:9" x14ac:dyDescent="0.3">
      <c r="A136" s="50" t="s">
        <v>191</v>
      </c>
      <c r="B136" s="51" t="s">
        <v>342</v>
      </c>
      <c r="C136" s="50">
        <v>150504</v>
      </c>
      <c r="D136" s="50" t="s">
        <v>281</v>
      </c>
      <c r="E136" s="50" t="s">
        <v>243</v>
      </c>
      <c r="F136" s="50" t="s">
        <v>255</v>
      </c>
      <c r="G136" s="50" t="s">
        <v>245</v>
      </c>
      <c r="H136" s="50" t="s">
        <v>357</v>
      </c>
      <c r="I136" s="50" t="str">
        <f t="shared" si="52"/>
        <v>FLD_136_150504_FC_Q001_HAZ_A.wor</v>
      </c>
    </row>
    <row r="137" spans="1:9" x14ac:dyDescent="0.3">
      <c r="A137" s="50" t="s">
        <v>191</v>
      </c>
      <c r="B137" s="51" t="s">
        <v>343</v>
      </c>
      <c r="C137" s="50">
        <v>150504</v>
      </c>
      <c r="D137" s="50" t="s">
        <v>281</v>
      </c>
      <c r="E137" s="50" t="s">
        <v>243</v>
      </c>
      <c r="F137" s="50" t="s">
        <v>255</v>
      </c>
      <c r="G137" s="50" t="s">
        <v>246</v>
      </c>
      <c r="H137" s="50" t="s">
        <v>357</v>
      </c>
      <c r="I137" s="50" t="str">
        <f t="shared" si="52"/>
        <v>FLD_137_150504_FC_Q001_HAZ_B.wor</v>
      </c>
    </row>
    <row r="138" spans="1:9" x14ac:dyDescent="0.3">
      <c r="A138" s="50" t="s">
        <v>191</v>
      </c>
      <c r="B138" s="51" t="s">
        <v>344</v>
      </c>
      <c r="C138" s="50">
        <v>150504</v>
      </c>
      <c r="D138" s="50" t="s">
        <v>281</v>
      </c>
      <c r="E138" s="50" t="s">
        <v>243</v>
      </c>
      <c r="F138" s="50" t="s">
        <v>255</v>
      </c>
      <c r="G138" s="50" t="s">
        <v>247</v>
      </c>
      <c r="H138" s="50" t="s">
        <v>357</v>
      </c>
      <c r="I138" s="50" t="str">
        <f t="shared" si="52"/>
        <v>FLD_138_150504_FC_Q001_HAZ_C.wor</v>
      </c>
    </row>
    <row r="139" spans="1:9" x14ac:dyDescent="0.3">
      <c r="A139" s="50" t="s">
        <v>191</v>
      </c>
      <c r="B139" s="51" t="s">
        <v>345</v>
      </c>
      <c r="C139" s="50">
        <v>150504</v>
      </c>
      <c r="D139" s="50" t="s">
        <v>281</v>
      </c>
      <c r="E139" s="50" t="s">
        <v>248</v>
      </c>
      <c r="F139" s="50" t="s">
        <v>255</v>
      </c>
      <c r="G139" s="50" t="s">
        <v>245</v>
      </c>
      <c r="H139" s="50" t="s">
        <v>357</v>
      </c>
      <c r="I139" s="50" t="str">
        <f t="shared" si="52"/>
        <v>FLD_139_150504_FC_Q005_HAZ_A.wor</v>
      </c>
    </row>
    <row r="140" spans="1:9" x14ac:dyDescent="0.3">
      <c r="A140" s="50" t="s">
        <v>191</v>
      </c>
      <c r="B140" s="51" t="s">
        <v>346</v>
      </c>
      <c r="C140" s="50">
        <v>150504</v>
      </c>
      <c r="D140" s="50" t="s">
        <v>281</v>
      </c>
      <c r="E140" s="50" t="s">
        <v>248</v>
      </c>
      <c r="F140" s="50" t="s">
        <v>255</v>
      </c>
      <c r="G140" s="50" t="s">
        <v>246</v>
      </c>
      <c r="H140" s="50" t="s">
        <v>357</v>
      </c>
      <c r="I140" s="50" t="str">
        <f t="shared" si="52"/>
        <v>FLD_140_150504_FC_Q005_HAZ_B.wor</v>
      </c>
    </row>
    <row r="141" spans="1:9" x14ac:dyDescent="0.3">
      <c r="A141" s="50" t="s">
        <v>191</v>
      </c>
      <c r="B141" s="51" t="s">
        <v>347</v>
      </c>
      <c r="C141" s="50">
        <v>150504</v>
      </c>
      <c r="D141" s="50" t="s">
        <v>281</v>
      </c>
      <c r="E141" s="50" t="s">
        <v>248</v>
      </c>
      <c r="F141" s="50" t="s">
        <v>255</v>
      </c>
      <c r="G141" s="50" t="s">
        <v>247</v>
      </c>
      <c r="H141" s="50" t="s">
        <v>357</v>
      </c>
      <c r="I141" s="50" t="str">
        <f t="shared" si="52"/>
        <v>FLD_141_150504_FC_Q005_HAZ_C.wor</v>
      </c>
    </row>
    <row r="142" spans="1:9" x14ac:dyDescent="0.3">
      <c r="A142" s="50" t="s">
        <v>191</v>
      </c>
      <c r="B142" s="51" t="s">
        <v>348</v>
      </c>
      <c r="C142" s="50">
        <v>150504</v>
      </c>
      <c r="D142" s="50" t="s">
        <v>281</v>
      </c>
      <c r="E142" s="50" t="s">
        <v>249</v>
      </c>
      <c r="F142" s="50" t="s">
        <v>255</v>
      </c>
      <c r="G142" s="50" t="s">
        <v>245</v>
      </c>
      <c r="H142" s="50" t="s">
        <v>357</v>
      </c>
      <c r="I142" s="50" t="str">
        <f t="shared" si="52"/>
        <v>FLD_142_150504_FC_Q010_HAZ_A.wor</v>
      </c>
    </row>
    <row r="143" spans="1:9" x14ac:dyDescent="0.3">
      <c r="A143" s="50" t="s">
        <v>191</v>
      </c>
      <c r="B143" s="51" t="s">
        <v>349</v>
      </c>
      <c r="C143" s="50">
        <v>150504</v>
      </c>
      <c r="D143" s="50" t="s">
        <v>281</v>
      </c>
      <c r="E143" s="50" t="s">
        <v>249</v>
      </c>
      <c r="F143" s="50" t="s">
        <v>255</v>
      </c>
      <c r="G143" s="50" t="s">
        <v>246</v>
      </c>
      <c r="H143" s="50" t="s">
        <v>357</v>
      </c>
      <c r="I143" s="50" t="str">
        <f t="shared" si="52"/>
        <v>FLD_143_150504_FC_Q010_HAZ_B.wor</v>
      </c>
    </row>
    <row r="144" spans="1:9" x14ac:dyDescent="0.3">
      <c r="A144" s="50" t="s">
        <v>191</v>
      </c>
      <c r="B144" s="51" t="s">
        <v>350</v>
      </c>
      <c r="C144" s="50">
        <v>150504</v>
      </c>
      <c r="D144" s="50" t="s">
        <v>281</v>
      </c>
      <c r="E144" s="50" t="s">
        <v>249</v>
      </c>
      <c r="F144" s="50" t="s">
        <v>255</v>
      </c>
      <c r="G144" s="50" t="s">
        <v>247</v>
      </c>
      <c r="H144" s="50" t="s">
        <v>357</v>
      </c>
      <c r="I144" s="50" t="str">
        <f t="shared" si="52"/>
        <v>FLD_144_150504_FC_Q010_HAZ_C.wor</v>
      </c>
    </row>
    <row r="145" spans="1:9" x14ac:dyDescent="0.3">
      <c r="A145" s="50" t="s">
        <v>191</v>
      </c>
      <c r="B145" s="51" t="s">
        <v>351</v>
      </c>
      <c r="C145" s="50">
        <v>150504</v>
      </c>
      <c r="D145" s="50" t="s">
        <v>281</v>
      </c>
      <c r="E145" s="50" t="s">
        <v>250</v>
      </c>
      <c r="F145" s="50" t="s">
        <v>255</v>
      </c>
      <c r="G145" s="50" t="s">
        <v>245</v>
      </c>
      <c r="H145" s="50" t="s">
        <v>357</v>
      </c>
      <c r="I145" s="50" t="str">
        <f t="shared" si="52"/>
        <v>FLD_145_150504_FC_Q050_HAZ_A.wor</v>
      </c>
    </row>
    <row r="146" spans="1:9" x14ac:dyDescent="0.3">
      <c r="A146" s="50" t="s">
        <v>191</v>
      </c>
      <c r="B146" s="51" t="s">
        <v>352</v>
      </c>
      <c r="C146" s="50">
        <v>150504</v>
      </c>
      <c r="D146" s="50" t="s">
        <v>281</v>
      </c>
      <c r="E146" s="50" t="s">
        <v>250</v>
      </c>
      <c r="F146" s="50" t="s">
        <v>255</v>
      </c>
      <c r="G146" s="50" t="s">
        <v>246</v>
      </c>
      <c r="H146" s="50" t="s">
        <v>357</v>
      </c>
      <c r="I146" s="50" t="str">
        <f t="shared" si="52"/>
        <v>FLD_146_150504_FC_Q050_HAZ_B.wor</v>
      </c>
    </row>
    <row r="147" spans="1:9" x14ac:dyDescent="0.3">
      <c r="A147" s="50" t="s">
        <v>191</v>
      </c>
      <c r="B147" s="51" t="s">
        <v>353</v>
      </c>
      <c r="C147" s="50">
        <v>150504</v>
      </c>
      <c r="D147" s="50" t="s">
        <v>281</v>
      </c>
      <c r="E147" s="50" t="s">
        <v>250</v>
      </c>
      <c r="F147" s="50" t="s">
        <v>255</v>
      </c>
      <c r="G147" s="50" t="s">
        <v>247</v>
      </c>
      <c r="H147" s="50" t="s">
        <v>357</v>
      </c>
      <c r="I147" s="50" t="str">
        <f t="shared" si="52"/>
        <v>FLD_147_150504_FC_Q050_HAZ_C.wor</v>
      </c>
    </row>
    <row r="148" spans="1:9" x14ac:dyDescent="0.3">
      <c r="A148" s="50" t="s">
        <v>191</v>
      </c>
      <c r="B148" s="51" t="s">
        <v>354</v>
      </c>
      <c r="C148" s="50">
        <v>150504</v>
      </c>
      <c r="D148" s="50" t="s">
        <v>281</v>
      </c>
      <c r="E148" s="50" t="s">
        <v>251</v>
      </c>
      <c r="F148" s="50" t="s">
        <v>255</v>
      </c>
      <c r="G148" s="50" t="s">
        <v>245</v>
      </c>
      <c r="H148" s="50" t="s">
        <v>357</v>
      </c>
      <c r="I148" s="50" t="str">
        <f t="shared" si="52"/>
        <v>FLD_148_150504_FC_Q100_HAZ_A.wor</v>
      </c>
    </row>
    <row r="149" spans="1:9" x14ac:dyDescent="0.3">
      <c r="A149" s="50" t="s">
        <v>191</v>
      </c>
      <c r="B149" s="51" t="s">
        <v>355</v>
      </c>
      <c r="C149" s="50">
        <v>150504</v>
      </c>
      <c r="D149" s="50" t="s">
        <v>281</v>
      </c>
      <c r="E149" s="50" t="s">
        <v>251</v>
      </c>
      <c r="F149" s="50" t="s">
        <v>255</v>
      </c>
      <c r="G149" s="50" t="s">
        <v>246</v>
      </c>
      <c r="H149" s="50" t="s">
        <v>357</v>
      </c>
      <c r="I149" s="50" t="str">
        <f t="shared" si="52"/>
        <v>FLD_149_150504_FC_Q100_HAZ_B.wor</v>
      </c>
    </row>
    <row r="150" spans="1:9" x14ac:dyDescent="0.3">
      <c r="A150" s="50" t="s">
        <v>191</v>
      </c>
      <c r="B150" s="51" t="s">
        <v>356</v>
      </c>
      <c r="C150" s="50">
        <v>150504</v>
      </c>
      <c r="D150" s="50" t="s">
        <v>281</v>
      </c>
      <c r="E150" s="50" t="s">
        <v>251</v>
      </c>
      <c r="F150" s="50" t="s">
        <v>255</v>
      </c>
      <c r="G150" s="50" t="s">
        <v>247</v>
      </c>
      <c r="H150" s="50" t="s">
        <v>357</v>
      </c>
      <c r="I150" s="50" t="str">
        <f t="shared" si="52"/>
        <v>FLD_150_150504_FC_Q100_HAZ_C.wor</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Workspace</vt:lpstr>
      <vt:lpstr>Replace Layers</vt:lpstr>
      <vt:lpstr>Replace Text</vt:lpstr>
      <vt:lpstr>Naming_Sheet</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Melissa.Blum</cp:lastModifiedBy>
  <dcterms:created xsi:type="dcterms:W3CDTF">2010-11-25T11:06:48Z</dcterms:created>
  <dcterms:modified xsi:type="dcterms:W3CDTF">2015-05-11T03:53:10Z</dcterms:modified>
</cp:coreProperties>
</file>